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 Metrics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Device Analysis" sheetId="3" state="visible" r:id="rId3"/>
    <sheet xmlns:r="http://schemas.openxmlformats.org/officeDocument/2006/relationships" name="Traffic Source Analysis" sheetId="4" state="visible" r:id="rId4"/>
    <sheet xmlns:r="http://schemas.openxmlformats.org/officeDocument/2006/relationships" name="Plan Type Analysis" sheetId="5" state="visible" r:id="rId5"/>
    <sheet xmlns:r="http://schemas.openxmlformats.org/officeDocument/2006/relationships" name="Raw Data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1F4E78"/>
      <sz val="16"/>
    </font>
    <font>
      <b val="1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164" fontId="0" fillId="0" borderId="0" applyAlignment="1" pivotButton="0" quotePrefix="0" xfId="0">
      <alignment/>
    </xf>
    <xf numFmtId="164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" fontId="0" fillId="0" borderId="2" applyAlignment="1" pivotButton="0" quotePrefix="0" xfId="0">
      <alignment vertical="center" wrapText="1"/>
    </xf>
    <xf numFmtId="10" fontId="0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0" fontId="4" fillId="5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0" borderId="1" pivotButton="0" quotePrefix="0" xfId="0"/>
    <xf numFmtId="0" fontId="2" fillId="3" borderId="0" applyAlignment="1" pivotButton="0" quotePrefix="0" xfId="0">
      <alignment horizontal="center"/>
    </xf>
    <xf numFmtId="164" fontId="0" fillId="0" borderId="0" applyAlignment="1" pivotButton="0" quotePrefix="0" xfId="0">
      <alignment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Rates: Control vs Treatment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Metrics'!C4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Metrics'!$A$5:$A$8</f>
            </numRef>
          </cat>
          <val>
            <numRef>
              <f>'Summary Metrics'!$C$5:$C$8</f>
            </numRef>
          </val>
        </ser>
        <ser>
          <idx val="1"/>
          <order val="1"/>
          <tx>
            <strRef>
              <f>'Summary Metrics'!D4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Metrics'!$A$5:$A$8</f>
            </numRef>
          </cat>
          <val>
            <numRef>
              <f>'Summary Metrics'!$D$5:$D$8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6" customWidth="1" min="4" max="4"/>
    <col width="20" customWidth="1" min="5" max="5"/>
    <col width="35" customWidth="1" min="6" max="6"/>
  </cols>
  <sheetData>
    <row r="1">
      <c r="A1" s="17" t="inlineStr">
        <is>
          <t>Task 5: Experiment Summary - Control vs Treatment</t>
        </is>
      </c>
      <c r="B1" s="1" t="n"/>
      <c r="C1" s="1" t="n"/>
      <c r="D1" s="1" t="n"/>
      <c r="E1" s="1" t="n"/>
      <c r="F1" s="1" t="n"/>
    </row>
    <row r="3" ht="35" customHeight="1">
      <c r="A3" s="18" t="inlineStr">
        <is>
          <t>Metric</t>
        </is>
      </c>
      <c r="B3" s="18" t="inlineStr">
        <is>
          <t>Required Calculation</t>
        </is>
      </c>
      <c r="C3" s="18" t="inlineStr">
        <is>
          <t>Control</t>
        </is>
      </c>
      <c r="D3" s="18" t="inlineStr">
        <is>
          <t>Treatment</t>
        </is>
      </c>
      <c r="E3" s="18" t="inlineStr">
        <is>
          <t>Difference (Treatment - Control)</t>
        </is>
      </c>
      <c r="F3" s="18" t="inlineStr">
        <is>
          <t>Simple Interpretation</t>
        </is>
      </c>
    </row>
    <row r="4">
      <c r="A4" s="19" t="inlineStr">
        <is>
          <t>User Count</t>
        </is>
      </c>
      <c r="B4" s="19" t="inlineStr">
        <is>
          <t>Number of users in each group</t>
        </is>
      </c>
      <c r="C4" s="20">
        <f>COUNTIF('Raw Data'!$C:$C,"Control")</f>
        <v/>
      </c>
      <c r="D4" s="20">
        <f>COUNTIF('Raw Data'!$C:$C,"Treatment")</f>
        <v/>
      </c>
      <c r="E4" s="20">
        <f>D4-C4</f>
        <v/>
      </c>
      <c r="F4" s="19" t="inlineStr">
        <is>
          <t>Treatment has slightly more users</t>
        </is>
      </c>
    </row>
    <row r="5">
      <c r="A5" s="19" t="inlineStr">
        <is>
          <t>Landing Page Visit Rate</t>
        </is>
      </c>
      <c r="B5" s="19" t="inlineStr">
        <is>
          <t>Users who visited landing page / total users</t>
        </is>
      </c>
      <c r="C5" s="21">
        <f>COUNTIFS('Raw Data'!$C:$C,"Control",'Raw Data'!$H:$H,1)/C4</f>
        <v/>
      </c>
      <c r="D5" s="21">
        <f>COUNTIFS('Raw Data'!$C:$C,"Treatment",'Raw Data'!$H:$H,1)/D4</f>
        <v/>
      </c>
      <c r="E5" s="21">
        <f>D5-C5</f>
        <v/>
      </c>
      <c r="F5" s="19" t="inlineStr">
        <is>
          <t>Higher rate is better</t>
        </is>
      </c>
    </row>
    <row r="6">
      <c r="A6" s="19" t="inlineStr">
        <is>
          <t>Trial Start Rate</t>
        </is>
      </c>
      <c r="B6" s="19" t="inlineStr">
        <is>
          <t>Users who started trial / total users</t>
        </is>
      </c>
      <c r="C6" s="21">
        <f>COUNTIFS('Raw Data'!$C:$C,"Control",'Raw Data'!$I:$I,1)/C4</f>
        <v/>
      </c>
      <c r="D6" s="21">
        <f>COUNTIFS('Raw Data'!$C:$C,"Treatment",'Raw Data'!$I:$I,1)/D4</f>
        <v/>
      </c>
      <c r="E6" s="21">
        <f>D6-C6</f>
        <v/>
      </c>
      <c r="F6" s="19" t="inlineStr">
        <is>
          <t>Higher rate is better</t>
        </is>
      </c>
    </row>
    <row r="7">
      <c r="A7" s="19" t="inlineStr">
        <is>
          <t>Onboarding Completion Rate</t>
        </is>
      </c>
      <c r="B7" s="19" t="inlineStr">
        <is>
          <t>Users who completed onboarding / total users</t>
        </is>
      </c>
      <c r="C7" s="21">
        <f>COUNTIFS('Raw Data'!$C:$C,"Control",'Raw Data'!$J:$J,1)/C4</f>
        <v/>
      </c>
      <c r="D7" s="21">
        <f>COUNTIFS('Raw Data'!$C:$C,"Treatment",'Raw Data'!$J:$J,1)/D4</f>
        <v/>
      </c>
      <c r="E7" s="21">
        <f>D7-C7</f>
        <v/>
      </c>
      <c r="F7" s="19" t="inlineStr">
        <is>
          <t>Higher rate is better</t>
        </is>
      </c>
    </row>
    <row r="8">
      <c r="A8" s="22" t="inlineStr">
        <is>
          <t>Paid Conversion Rate</t>
        </is>
      </c>
      <c r="B8" s="22" t="inlineStr">
        <is>
          <t>Users converted to paid / total users</t>
        </is>
      </c>
      <c r="C8" s="23">
        <f>COUNTIFS('Raw Data'!$C:$C,"Control",'Raw Data'!$K:$K,1)/C4</f>
        <v/>
      </c>
      <c r="D8" s="23">
        <f>COUNTIFS('Raw Data'!$C:$C,"Treatment",'Raw Data'!$K:$K,1)/D4</f>
        <v/>
      </c>
      <c r="E8" s="23">
        <f>D8-C8</f>
        <v/>
      </c>
      <c r="F8" s="22" t="inlineStr">
        <is>
          <t>This is the North Star Metric</t>
        </is>
      </c>
    </row>
    <row r="9">
      <c r="A9" s="19" t="inlineStr">
        <is>
          <t>Average Revenue Per User</t>
        </is>
      </c>
      <c r="B9" s="19" t="inlineStr">
        <is>
          <t>Total revenue / total users</t>
        </is>
      </c>
      <c r="C9" s="24">
        <f>SUMIFS('Raw Data'!$L:$L,'Raw Data'!$C:$C,"Control")/C4</f>
        <v/>
      </c>
      <c r="D9" s="24">
        <f>SUMIFS('Raw Data'!$L:$L,'Raw Data'!$C:$C,"Treatment")/D4</f>
        <v/>
      </c>
      <c r="E9" s="24">
        <f>D9-C9</f>
        <v/>
      </c>
      <c r="F9" s="19" t="inlineStr">
        <is>
          <t>Higher ARPU is better</t>
        </is>
      </c>
    </row>
    <row r="10">
      <c r="A10" s="19" t="inlineStr">
        <is>
          <t>Average Revenue Per Converted User</t>
        </is>
      </c>
      <c r="B10" s="19" t="inlineStr">
        <is>
          <t>Revenue / converted users</t>
        </is>
      </c>
      <c r="C10" s="24">
        <f>IFERROR(SUMIFS('Raw Data'!$L:$L,'Raw Data'!$C:$C,"Control")/COUNTIFS('Raw Data'!$C:$C,"Control",'Raw Data'!$K:$K,1),0)</f>
        <v/>
      </c>
      <c r="D10" s="24">
        <f>IFERROR(SUMIFS('Raw Data'!$L:$L,'Raw Data'!$C:$C,"Treatment")/COUNTIFS('Raw Data'!$C:$C,"Treatment",'Raw Data'!$K:$K,1),0)</f>
        <v/>
      </c>
      <c r="E10" s="24">
        <f>D10-C10</f>
        <v/>
      </c>
      <c r="F10" s="19" t="inlineStr">
        <is>
          <t>Shows revenue quality of converted users</t>
        </is>
      </c>
    </row>
    <row r="11">
      <c r="A11" s="19" t="inlineStr">
        <is>
          <t>Refund Rate</t>
        </is>
      </c>
      <c r="B11" s="19" t="inlineStr">
        <is>
          <t>Refund requests / total users</t>
        </is>
      </c>
      <c r="C11" s="21">
        <f>COUNTIFS('Raw Data'!$C:$C,"Control",'Raw Data'!$N:$N,1)/C4</f>
        <v/>
      </c>
      <c r="D11" s="21">
        <f>COUNTIFS('Raw Data'!$C:$C,"Treatment",'Raw Data'!$N:$N,1)/D4</f>
        <v/>
      </c>
      <c r="E11" s="21">
        <f>D11-C11</f>
        <v/>
      </c>
      <c r="F11" s="19" t="inlineStr">
        <is>
          <t>Lower rate is better</t>
        </is>
      </c>
    </row>
    <row r="12">
      <c r="A12" s="19" t="inlineStr">
        <is>
          <t>Support Ticket Rate</t>
        </is>
      </c>
      <c r="B12" s="19" t="inlineStr">
        <is>
          <t>Users with support tickets / total users</t>
        </is>
      </c>
      <c r="C12" s="21">
        <f>COUNTIFS('Raw Data'!$C:$C,"Control",'Raw Data'!$M:$M,"&gt;0")/C4</f>
        <v/>
      </c>
      <c r="D12" s="21">
        <f>COUNTIFS('Raw Data'!$C:$C,"Treatment",'Raw Data'!$M:$M,"&gt;0")/D4</f>
        <v/>
      </c>
      <c r="E12" s="21">
        <f>D12-C12</f>
        <v/>
      </c>
      <c r="F12" s="19" t="inlineStr">
        <is>
          <t>Lower rate is better</t>
        </is>
      </c>
    </row>
    <row r="13">
      <c r="A13" s="19" t="inlineStr">
        <is>
          <t>Average Engagement Score</t>
        </is>
      </c>
      <c r="B13" s="19" t="inlineStr">
        <is>
          <t>Average score by group</t>
        </is>
      </c>
      <c r="C13" s="24">
        <f>AVERAGEIFS('Raw Data'!$P:$P,'Raw Data'!$C:$C,"Control")</f>
        <v/>
      </c>
      <c r="D13" s="24">
        <f>AVERAGEIFS('Raw Data'!$P:$P,'Raw Data'!$C:$C,"Treatment")</f>
        <v/>
      </c>
      <c r="E13" s="24">
        <f>D13-C13</f>
        <v/>
      </c>
      <c r="F13" s="19" t="inlineStr">
        <is>
          <t>Higher engagement is better</t>
        </is>
      </c>
    </row>
    <row r="14">
      <c r="A14" s="19" t="inlineStr">
        <is>
          <t>Average Days To Convert</t>
        </is>
      </c>
      <c r="B14" s="19" t="inlineStr">
        <is>
          <t>Average days for users who converted</t>
        </is>
      </c>
      <c r="C14" s="24">
        <f>AVERAGEIFS('Raw Data'!$O:$O,'Raw Data'!$C:$C,"Control",'Raw Data'!$K:$K,1)</f>
        <v/>
      </c>
      <c r="D14" s="24">
        <f>AVERAGEIFS('Raw Data'!$O:$O,'Raw Data'!$C:$C,"Treatment",'Raw Data'!$K:$K,1)</f>
        <v/>
      </c>
      <c r="E14" s="24">
        <f>D14-C14</f>
        <v/>
      </c>
      <c r="F14" s="19" t="inlineStr">
        <is>
          <t>Lower days is better</t>
        </is>
      </c>
    </row>
    <row r="17">
      <c r="A17" s="25" t="inlineStr">
        <is>
          <t>Student Note</t>
        </is>
      </c>
    </row>
    <row r="18">
      <c r="A18" s="26" t="inlineStr">
        <is>
          <t>This sheet compares the Control and Treatment groups across main success metrics and guardrail metrics. Paid Conversion Rate is the North Star Metric for this experiment.</t>
        </is>
      </c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mergeCells count="2">
    <mergeCell ref="A18:F1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22" customWidth="1" min="9" max="9"/>
    <col width="26" customWidth="1" min="10" max="10"/>
  </cols>
  <sheetData>
    <row r="1">
      <c r="A1" s="27" t="inlineStr">
        <is>
          <t>Region Analysis - Segment Level Metrics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8" t="inlineStr">
        <is>
          <t>Region</t>
        </is>
      </c>
      <c r="B3" s="18" t="inlineStr">
        <is>
          <t>Control Users</t>
        </is>
      </c>
      <c r="C3" s="18" t="inlineStr">
        <is>
          <t>Treatment Users</t>
        </is>
      </c>
      <c r="D3" s="18" t="inlineStr">
        <is>
          <t>Control Paid Conversion Rate</t>
        </is>
      </c>
      <c r="E3" s="18" t="inlineStr">
        <is>
          <t>Treatment Paid Conversion Rate</t>
        </is>
      </c>
      <c r="F3" s="18" t="inlineStr">
        <is>
          <t>Control ARPU</t>
        </is>
      </c>
      <c r="G3" s="18" t="inlineStr">
        <is>
          <t>Treatment ARPU</t>
        </is>
      </c>
      <c r="H3" s="18" t="inlineStr">
        <is>
          <t>Control Avg Engagement</t>
        </is>
      </c>
      <c r="I3" s="18" t="inlineStr">
        <is>
          <t>Treatment Avg Engagement</t>
        </is>
      </c>
      <c r="J3" s="18" t="inlineStr">
        <is>
          <t>Quick Comment</t>
        </is>
      </c>
    </row>
    <row r="4">
      <c r="A4" s="19" t="inlineStr">
        <is>
          <t>East</t>
        </is>
      </c>
      <c r="B4" s="19">
        <f>COUNTIFS('Raw Data'!$C:$C,"Control",'Raw Data'!$D:$D,"East")</f>
        <v/>
      </c>
      <c r="C4" s="19">
        <f>COUNTIFS('Raw Data'!$C:$C,"Treatment",'Raw Data'!$D:$D,"East")</f>
        <v/>
      </c>
      <c r="D4" s="21">
        <f>IFERROR(COUNTIFS('Raw Data'!$C:$C,"Control",'Raw Data'!$D:$D,"East",'Raw Data'!$K:$K,1)/B4,0)</f>
        <v/>
      </c>
      <c r="E4" s="21">
        <f>IFERROR(COUNTIFS('Raw Data'!$C:$C,"Treatment",'Raw Data'!$D:$D,"East",'Raw Data'!$K:$K,1)/C4,0)</f>
        <v/>
      </c>
      <c r="F4" s="24">
        <f>IFERROR(SUMIFS('Raw Data'!$L:$L,'Raw Data'!$C:$C,"Control",'Raw Data'!$D:$D,"East")/B4,0)</f>
        <v/>
      </c>
      <c r="G4" s="24">
        <f>IFERROR(SUMIFS('Raw Data'!$L:$L,'Raw Data'!$C:$C,"Treatment",'Raw Data'!$D:$D,"East")/C4,0)</f>
        <v/>
      </c>
      <c r="H4" s="24">
        <f>IFERROR(AVERAGEIFS('Raw Data'!$P:$P,'Raw Data'!$C:$C,"Control",'Raw Data'!$D:$D,"East"),0)</f>
        <v/>
      </c>
      <c r="I4" s="24">
        <f>IFERROR(AVERAGEIFS('Raw Data'!$P:$P,'Raw Data'!$C:$C,"Treatment",'Raw Data'!$D:$D,"East"),0)</f>
        <v/>
      </c>
      <c r="J4" s="19">
        <f>IF(E4&gt;D4,"Treatment better conversion","Control better/equal conversion")</f>
        <v/>
      </c>
    </row>
    <row r="5">
      <c r="A5" s="19" t="inlineStr">
        <is>
          <t>North</t>
        </is>
      </c>
      <c r="B5" s="19">
        <f>COUNTIFS('Raw Data'!$C:$C,"Control",'Raw Data'!$D:$D,"North")</f>
        <v/>
      </c>
      <c r="C5" s="19">
        <f>COUNTIFS('Raw Data'!$C:$C,"Treatment",'Raw Data'!$D:$D,"North")</f>
        <v/>
      </c>
      <c r="D5" s="21">
        <f>IFERROR(COUNTIFS('Raw Data'!$C:$C,"Control",'Raw Data'!$D:$D,"North",'Raw Data'!$K:$K,1)/B5,0)</f>
        <v/>
      </c>
      <c r="E5" s="21">
        <f>IFERROR(COUNTIFS('Raw Data'!$C:$C,"Treatment",'Raw Data'!$D:$D,"North",'Raw Data'!$K:$K,1)/C5,0)</f>
        <v/>
      </c>
      <c r="F5" s="24">
        <f>IFERROR(SUMIFS('Raw Data'!$L:$L,'Raw Data'!$C:$C,"Control",'Raw Data'!$D:$D,"North")/B5,0)</f>
        <v/>
      </c>
      <c r="G5" s="24">
        <f>IFERROR(SUMIFS('Raw Data'!$L:$L,'Raw Data'!$C:$C,"Treatment",'Raw Data'!$D:$D,"North")/C5,0)</f>
        <v/>
      </c>
      <c r="H5" s="24">
        <f>IFERROR(AVERAGEIFS('Raw Data'!$P:$P,'Raw Data'!$C:$C,"Control",'Raw Data'!$D:$D,"North"),0)</f>
        <v/>
      </c>
      <c r="I5" s="24">
        <f>IFERROR(AVERAGEIFS('Raw Data'!$P:$P,'Raw Data'!$C:$C,"Treatment",'Raw Data'!$D:$D,"North"),0)</f>
        <v/>
      </c>
      <c r="J5" s="19">
        <f>IF(E5&gt;D5,"Treatment better conversion","Control better/equal conversion")</f>
        <v/>
      </c>
    </row>
    <row r="6">
      <c r="A6" s="19" t="inlineStr">
        <is>
          <t>South</t>
        </is>
      </c>
      <c r="B6" s="19">
        <f>COUNTIFS('Raw Data'!$C:$C,"Control",'Raw Data'!$D:$D,"South")</f>
        <v/>
      </c>
      <c r="C6" s="19">
        <f>COUNTIFS('Raw Data'!$C:$C,"Treatment",'Raw Data'!$D:$D,"South")</f>
        <v/>
      </c>
      <c r="D6" s="21">
        <f>IFERROR(COUNTIFS('Raw Data'!$C:$C,"Control",'Raw Data'!$D:$D,"South",'Raw Data'!$K:$K,1)/B6,0)</f>
        <v/>
      </c>
      <c r="E6" s="21">
        <f>IFERROR(COUNTIFS('Raw Data'!$C:$C,"Treatment",'Raw Data'!$D:$D,"South",'Raw Data'!$K:$K,1)/C6,0)</f>
        <v/>
      </c>
      <c r="F6" s="24">
        <f>IFERROR(SUMIFS('Raw Data'!$L:$L,'Raw Data'!$C:$C,"Control",'Raw Data'!$D:$D,"South")/B6,0)</f>
        <v/>
      </c>
      <c r="G6" s="24">
        <f>IFERROR(SUMIFS('Raw Data'!$L:$L,'Raw Data'!$C:$C,"Treatment",'Raw Data'!$D:$D,"South")/C6,0)</f>
        <v/>
      </c>
      <c r="H6" s="24">
        <f>IFERROR(AVERAGEIFS('Raw Data'!$P:$P,'Raw Data'!$C:$C,"Control",'Raw Data'!$D:$D,"South"),0)</f>
        <v/>
      </c>
      <c r="I6" s="24">
        <f>IFERROR(AVERAGEIFS('Raw Data'!$P:$P,'Raw Data'!$C:$C,"Treatment",'Raw Data'!$D:$D,"South"),0)</f>
        <v/>
      </c>
      <c r="J6" s="19">
        <f>IF(E6&gt;D6,"Treatment better conversion","Control better/equal conversion")</f>
        <v/>
      </c>
    </row>
    <row r="7">
      <c r="A7" s="19" t="inlineStr">
        <is>
          <t>West</t>
        </is>
      </c>
      <c r="B7" s="19">
        <f>COUNTIFS('Raw Data'!$C:$C,"Control",'Raw Data'!$D:$D,"West")</f>
        <v/>
      </c>
      <c r="C7" s="19">
        <f>COUNTIFS('Raw Data'!$C:$C,"Treatment",'Raw Data'!$D:$D,"West")</f>
        <v/>
      </c>
      <c r="D7" s="21">
        <f>IFERROR(COUNTIFS('Raw Data'!$C:$C,"Control",'Raw Data'!$D:$D,"West",'Raw Data'!$K:$K,1)/B7,0)</f>
        <v/>
      </c>
      <c r="E7" s="21">
        <f>IFERROR(COUNTIFS('Raw Data'!$C:$C,"Treatment",'Raw Data'!$D:$D,"West",'Raw Data'!$K:$K,1)/C7,0)</f>
        <v/>
      </c>
      <c r="F7" s="24">
        <f>IFERROR(SUMIFS('Raw Data'!$L:$L,'Raw Data'!$C:$C,"Control",'Raw Data'!$D:$D,"West")/B7,0)</f>
        <v/>
      </c>
      <c r="G7" s="24">
        <f>IFERROR(SUMIFS('Raw Data'!$L:$L,'Raw Data'!$C:$C,"Treatment",'Raw Data'!$D:$D,"West")/C7,0)</f>
        <v/>
      </c>
      <c r="H7" s="24">
        <f>IFERROR(AVERAGEIFS('Raw Data'!$P:$P,'Raw Data'!$C:$C,"Control",'Raw Data'!$D:$D,"West"),0)</f>
        <v/>
      </c>
      <c r="I7" s="24">
        <f>IFERROR(AVERAGEIFS('Raw Data'!$P:$P,'Raw Data'!$C:$C,"Treatment",'Raw Data'!$D:$D,"West"),0)</f>
        <v/>
      </c>
      <c r="J7" s="19">
        <f>IF(E7&gt;D7,"Treatment better conversion","Control better/equal conversion")</f>
        <v/>
      </c>
    </row>
    <row r="10">
      <c r="A10" s="25" t="inlineStr">
        <is>
          <t>Student Note</t>
        </is>
      </c>
    </row>
    <row r="11">
      <c r="A11" s="26" t="inlineStr">
        <is>
          <t>This segment sheet compares at least three metrics by group: paid conversion rate, average revenue per user, and average engagement score.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</sheetData>
  <mergeCells count="2">
    <mergeCell ref="A1:J1"/>
    <mergeCell ref="A11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22" customWidth="1" min="9" max="9"/>
    <col width="26" customWidth="1" min="10" max="10"/>
  </cols>
  <sheetData>
    <row r="1">
      <c r="A1" s="27" t="inlineStr">
        <is>
          <t>Device Analysis - Segment Level Metrics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8" t="inlineStr">
        <is>
          <t>Device Type</t>
        </is>
      </c>
      <c r="B3" s="18" t="inlineStr">
        <is>
          <t>Control Users</t>
        </is>
      </c>
      <c r="C3" s="18" t="inlineStr">
        <is>
          <t>Treatment Users</t>
        </is>
      </c>
      <c r="D3" s="18" t="inlineStr">
        <is>
          <t>Control Paid Conversion Rate</t>
        </is>
      </c>
      <c r="E3" s="18" t="inlineStr">
        <is>
          <t>Treatment Paid Conversion Rate</t>
        </is>
      </c>
      <c r="F3" s="18" t="inlineStr">
        <is>
          <t>Control ARPU</t>
        </is>
      </c>
      <c r="G3" s="18" t="inlineStr">
        <is>
          <t>Treatment ARPU</t>
        </is>
      </c>
      <c r="H3" s="18" t="inlineStr">
        <is>
          <t>Control Avg Engagement</t>
        </is>
      </c>
      <c r="I3" s="18" t="inlineStr">
        <is>
          <t>Treatment Avg Engagement</t>
        </is>
      </c>
      <c r="J3" s="18" t="inlineStr">
        <is>
          <t>Quick Comment</t>
        </is>
      </c>
    </row>
    <row r="4">
      <c r="A4" s="19" t="inlineStr">
        <is>
          <t>(Missing)</t>
        </is>
      </c>
      <c r="B4" s="19">
        <f>COUNTIFS('Raw Data'!$C:$C,"Control",'Raw Data'!$E:$E,"")</f>
        <v/>
      </c>
      <c r="C4" s="19">
        <f>COUNTIFS('Raw Data'!$C:$C,"Treatment",'Raw Data'!$E:$E,"")</f>
        <v/>
      </c>
      <c r="D4" s="21">
        <f>IFERROR(COUNTIFS('Raw Data'!$C:$C,"Control",'Raw Data'!$E:$E,"",'Raw Data'!$K:$K,1)/B4,0)</f>
        <v/>
      </c>
      <c r="E4" s="21">
        <f>IFERROR(COUNTIFS('Raw Data'!$C:$C,"Treatment",'Raw Data'!$E:$E,"",'Raw Data'!$K:$K,1)/C4,0)</f>
        <v/>
      </c>
      <c r="F4" s="24">
        <f>IFERROR(SUMIFS('Raw Data'!$L:$L,'Raw Data'!$C:$C,"Control",'Raw Data'!$E:$E,"")/B4,0)</f>
        <v/>
      </c>
      <c r="G4" s="24">
        <f>IFERROR(SUMIFS('Raw Data'!$L:$L,'Raw Data'!$C:$C,"Treatment",'Raw Data'!$E:$E,"")/C4,0)</f>
        <v/>
      </c>
      <c r="H4" s="24">
        <f>IFERROR(AVERAGEIFS('Raw Data'!$P:$P,'Raw Data'!$C:$C,"Control",'Raw Data'!$E:$E,""),0)</f>
        <v/>
      </c>
      <c r="I4" s="24">
        <f>IFERROR(AVERAGEIFS('Raw Data'!$P:$P,'Raw Data'!$C:$C,"Treatment",'Raw Data'!$E:$E,""),0)</f>
        <v/>
      </c>
      <c r="J4" s="19">
        <f>IF(E4&gt;D4,"Treatment better conversion","Control better/equal conversion")</f>
        <v/>
      </c>
    </row>
    <row r="5">
      <c r="A5" s="19" t="inlineStr">
        <is>
          <t>Desktop</t>
        </is>
      </c>
      <c r="B5" s="19">
        <f>COUNTIFS('Raw Data'!$C:$C,"Control",'Raw Data'!$E:$E,"Desktop")</f>
        <v/>
      </c>
      <c r="C5" s="19">
        <f>COUNTIFS('Raw Data'!$C:$C,"Treatment",'Raw Data'!$E:$E,"Desktop")</f>
        <v/>
      </c>
      <c r="D5" s="21">
        <f>IFERROR(COUNTIFS('Raw Data'!$C:$C,"Control",'Raw Data'!$E:$E,"Desktop",'Raw Data'!$K:$K,1)/B5,0)</f>
        <v/>
      </c>
      <c r="E5" s="21">
        <f>IFERROR(COUNTIFS('Raw Data'!$C:$C,"Treatment",'Raw Data'!$E:$E,"Desktop",'Raw Data'!$K:$K,1)/C5,0)</f>
        <v/>
      </c>
      <c r="F5" s="24">
        <f>IFERROR(SUMIFS('Raw Data'!$L:$L,'Raw Data'!$C:$C,"Control",'Raw Data'!$E:$E,"Desktop")/B5,0)</f>
        <v/>
      </c>
      <c r="G5" s="24">
        <f>IFERROR(SUMIFS('Raw Data'!$L:$L,'Raw Data'!$C:$C,"Treatment",'Raw Data'!$E:$E,"Desktop")/C5,0)</f>
        <v/>
      </c>
      <c r="H5" s="24">
        <f>IFERROR(AVERAGEIFS('Raw Data'!$P:$P,'Raw Data'!$C:$C,"Control",'Raw Data'!$E:$E,"Desktop"),0)</f>
        <v/>
      </c>
      <c r="I5" s="24">
        <f>IFERROR(AVERAGEIFS('Raw Data'!$P:$P,'Raw Data'!$C:$C,"Treatment",'Raw Data'!$E:$E,"Desktop"),0)</f>
        <v/>
      </c>
      <c r="J5" s="19">
        <f>IF(E5&gt;D5,"Treatment better conversion","Control better/equal conversion")</f>
        <v/>
      </c>
    </row>
    <row r="6">
      <c r="A6" s="19" t="inlineStr">
        <is>
          <t>Mobile</t>
        </is>
      </c>
      <c r="B6" s="19">
        <f>COUNTIFS('Raw Data'!$C:$C,"Control",'Raw Data'!$E:$E,"Mobile")</f>
        <v/>
      </c>
      <c r="C6" s="19">
        <f>COUNTIFS('Raw Data'!$C:$C,"Treatment",'Raw Data'!$E:$E,"Mobile")</f>
        <v/>
      </c>
      <c r="D6" s="21">
        <f>IFERROR(COUNTIFS('Raw Data'!$C:$C,"Control",'Raw Data'!$E:$E,"Mobile",'Raw Data'!$K:$K,1)/B6,0)</f>
        <v/>
      </c>
      <c r="E6" s="21">
        <f>IFERROR(COUNTIFS('Raw Data'!$C:$C,"Treatment",'Raw Data'!$E:$E,"Mobile",'Raw Data'!$K:$K,1)/C6,0)</f>
        <v/>
      </c>
      <c r="F6" s="24">
        <f>IFERROR(SUMIFS('Raw Data'!$L:$L,'Raw Data'!$C:$C,"Control",'Raw Data'!$E:$E,"Mobile")/B6,0)</f>
        <v/>
      </c>
      <c r="G6" s="24">
        <f>IFERROR(SUMIFS('Raw Data'!$L:$L,'Raw Data'!$C:$C,"Treatment",'Raw Data'!$E:$E,"Mobile")/C6,0)</f>
        <v/>
      </c>
      <c r="H6" s="24">
        <f>IFERROR(AVERAGEIFS('Raw Data'!$P:$P,'Raw Data'!$C:$C,"Control",'Raw Data'!$E:$E,"Mobile"),0)</f>
        <v/>
      </c>
      <c r="I6" s="24">
        <f>IFERROR(AVERAGEIFS('Raw Data'!$P:$P,'Raw Data'!$C:$C,"Treatment",'Raw Data'!$E:$E,"Mobile"),0)</f>
        <v/>
      </c>
      <c r="J6" s="19">
        <f>IF(E6&gt;D6,"Treatment better conversion","Control better/equal conversion")</f>
        <v/>
      </c>
    </row>
    <row r="7">
      <c r="A7" s="19" t="inlineStr">
        <is>
          <t>Tablet</t>
        </is>
      </c>
      <c r="B7" s="19">
        <f>COUNTIFS('Raw Data'!$C:$C,"Control",'Raw Data'!$E:$E,"Tablet")</f>
        <v/>
      </c>
      <c r="C7" s="19">
        <f>COUNTIFS('Raw Data'!$C:$C,"Treatment",'Raw Data'!$E:$E,"Tablet")</f>
        <v/>
      </c>
      <c r="D7" s="21">
        <f>IFERROR(COUNTIFS('Raw Data'!$C:$C,"Control",'Raw Data'!$E:$E,"Tablet",'Raw Data'!$K:$K,1)/B7,0)</f>
        <v/>
      </c>
      <c r="E7" s="21">
        <f>IFERROR(COUNTIFS('Raw Data'!$C:$C,"Treatment",'Raw Data'!$E:$E,"Tablet",'Raw Data'!$K:$K,1)/C7,0)</f>
        <v/>
      </c>
      <c r="F7" s="24">
        <f>IFERROR(SUMIFS('Raw Data'!$L:$L,'Raw Data'!$C:$C,"Control",'Raw Data'!$E:$E,"Tablet")/B7,0)</f>
        <v/>
      </c>
      <c r="G7" s="24">
        <f>IFERROR(SUMIFS('Raw Data'!$L:$L,'Raw Data'!$C:$C,"Treatment",'Raw Data'!$E:$E,"Tablet")/C7,0)</f>
        <v/>
      </c>
      <c r="H7" s="24">
        <f>IFERROR(AVERAGEIFS('Raw Data'!$P:$P,'Raw Data'!$C:$C,"Control",'Raw Data'!$E:$E,"Tablet"),0)</f>
        <v/>
      </c>
      <c r="I7" s="24">
        <f>IFERROR(AVERAGEIFS('Raw Data'!$P:$P,'Raw Data'!$C:$C,"Treatment",'Raw Data'!$E:$E,"Tablet"),0)</f>
        <v/>
      </c>
      <c r="J7" s="19">
        <f>IF(E7&gt;D7,"Treatment better conversion","Control better/equal conversion")</f>
        <v/>
      </c>
    </row>
    <row r="10">
      <c r="A10" s="25" t="inlineStr">
        <is>
          <t>Student Note</t>
        </is>
      </c>
    </row>
    <row r="11">
      <c r="A11" s="26" t="inlineStr">
        <is>
          <t>This segment sheet compares at least three metrics by group: paid conversion rate, average revenue per user, and average engagement score.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</sheetData>
  <mergeCells count="2">
    <mergeCell ref="A1:J1"/>
    <mergeCell ref="A11:J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22" customWidth="1" min="9" max="9"/>
    <col width="26" customWidth="1" min="10" max="10"/>
  </cols>
  <sheetData>
    <row r="1">
      <c r="A1" s="27" t="inlineStr">
        <is>
          <t>Traffic Source Analysis - Segment Level Metrics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8" t="inlineStr">
        <is>
          <t>Traffic Source</t>
        </is>
      </c>
      <c r="B3" s="18" t="inlineStr">
        <is>
          <t>Control Users</t>
        </is>
      </c>
      <c r="C3" s="18" t="inlineStr">
        <is>
          <t>Treatment Users</t>
        </is>
      </c>
      <c r="D3" s="18" t="inlineStr">
        <is>
          <t>Control Paid Conversion Rate</t>
        </is>
      </c>
      <c r="E3" s="18" t="inlineStr">
        <is>
          <t>Treatment Paid Conversion Rate</t>
        </is>
      </c>
      <c r="F3" s="18" t="inlineStr">
        <is>
          <t>Control ARPU</t>
        </is>
      </c>
      <c r="G3" s="18" t="inlineStr">
        <is>
          <t>Treatment ARPU</t>
        </is>
      </c>
      <c r="H3" s="18" t="inlineStr">
        <is>
          <t>Control Avg Engagement</t>
        </is>
      </c>
      <c r="I3" s="18" t="inlineStr">
        <is>
          <t>Treatment Avg Engagement</t>
        </is>
      </c>
      <c r="J3" s="18" t="inlineStr">
        <is>
          <t>Quick Comment</t>
        </is>
      </c>
    </row>
    <row r="4">
      <c r="A4" s="19" t="inlineStr">
        <is>
          <t>(Missing)</t>
        </is>
      </c>
      <c r="B4" s="19">
        <f>COUNTIFS('Raw Data'!$C:$C,"Control",'Raw Data'!$F:$F,"")</f>
        <v/>
      </c>
      <c r="C4" s="19">
        <f>COUNTIFS('Raw Data'!$C:$C,"Treatment",'Raw Data'!$F:$F,"")</f>
        <v/>
      </c>
      <c r="D4" s="21">
        <f>IFERROR(COUNTIFS('Raw Data'!$C:$C,"Control",'Raw Data'!$F:$F,"",'Raw Data'!$K:$K,1)/B4,0)</f>
        <v/>
      </c>
      <c r="E4" s="21">
        <f>IFERROR(COUNTIFS('Raw Data'!$C:$C,"Treatment",'Raw Data'!$F:$F,"",'Raw Data'!$K:$K,1)/C4,0)</f>
        <v/>
      </c>
      <c r="F4" s="24">
        <f>IFERROR(SUMIFS('Raw Data'!$L:$L,'Raw Data'!$C:$C,"Control",'Raw Data'!$F:$F,"")/B4,0)</f>
        <v/>
      </c>
      <c r="G4" s="24">
        <f>IFERROR(SUMIFS('Raw Data'!$L:$L,'Raw Data'!$C:$C,"Treatment",'Raw Data'!$F:$F,"")/C4,0)</f>
        <v/>
      </c>
      <c r="H4" s="24">
        <f>IFERROR(AVERAGEIFS('Raw Data'!$P:$P,'Raw Data'!$C:$C,"Control",'Raw Data'!$F:$F,""),0)</f>
        <v/>
      </c>
      <c r="I4" s="24">
        <f>IFERROR(AVERAGEIFS('Raw Data'!$P:$P,'Raw Data'!$C:$C,"Treatment",'Raw Data'!$F:$F,""),0)</f>
        <v/>
      </c>
      <c r="J4" s="19">
        <f>IF(E4&gt;D4,"Treatment better conversion","Control better/equal conversion")</f>
        <v/>
      </c>
    </row>
    <row r="5">
      <c r="A5" s="19" t="inlineStr">
        <is>
          <t>Email</t>
        </is>
      </c>
      <c r="B5" s="19">
        <f>COUNTIFS('Raw Data'!$C:$C,"Control",'Raw Data'!$F:$F,"Email")</f>
        <v/>
      </c>
      <c r="C5" s="19">
        <f>COUNTIFS('Raw Data'!$C:$C,"Treatment",'Raw Data'!$F:$F,"Email")</f>
        <v/>
      </c>
      <c r="D5" s="21">
        <f>IFERROR(COUNTIFS('Raw Data'!$C:$C,"Control",'Raw Data'!$F:$F,"Email",'Raw Data'!$K:$K,1)/B5,0)</f>
        <v/>
      </c>
      <c r="E5" s="21">
        <f>IFERROR(COUNTIFS('Raw Data'!$C:$C,"Treatment",'Raw Data'!$F:$F,"Email",'Raw Data'!$K:$K,1)/C5,0)</f>
        <v/>
      </c>
      <c r="F5" s="24">
        <f>IFERROR(SUMIFS('Raw Data'!$L:$L,'Raw Data'!$C:$C,"Control",'Raw Data'!$F:$F,"Email")/B5,0)</f>
        <v/>
      </c>
      <c r="G5" s="24">
        <f>IFERROR(SUMIFS('Raw Data'!$L:$L,'Raw Data'!$C:$C,"Treatment",'Raw Data'!$F:$F,"Email")/C5,0)</f>
        <v/>
      </c>
      <c r="H5" s="24">
        <f>IFERROR(AVERAGEIFS('Raw Data'!$P:$P,'Raw Data'!$C:$C,"Control",'Raw Data'!$F:$F,"Email"),0)</f>
        <v/>
      </c>
      <c r="I5" s="24">
        <f>IFERROR(AVERAGEIFS('Raw Data'!$P:$P,'Raw Data'!$C:$C,"Treatment",'Raw Data'!$F:$F,"Email"),0)</f>
        <v/>
      </c>
      <c r="J5" s="19">
        <f>IF(E5&gt;D5,"Treatment better conversion","Control better/equal conversion")</f>
        <v/>
      </c>
    </row>
    <row r="6">
      <c r="A6" s="19" t="inlineStr">
        <is>
          <t>Organic</t>
        </is>
      </c>
      <c r="B6" s="19">
        <f>COUNTIFS('Raw Data'!$C:$C,"Control",'Raw Data'!$F:$F,"Organic")</f>
        <v/>
      </c>
      <c r="C6" s="19">
        <f>COUNTIFS('Raw Data'!$C:$C,"Treatment",'Raw Data'!$F:$F,"Organic")</f>
        <v/>
      </c>
      <c r="D6" s="21">
        <f>IFERROR(COUNTIFS('Raw Data'!$C:$C,"Control",'Raw Data'!$F:$F,"Organic",'Raw Data'!$K:$K,1)/B6,0)</f>
        <v/>
      </c>
      <c r="E6" s="21">
        <f>IFERROR(COUNTIFS('Raw Data'!$C:$C,"Treatment",'Raw Data'!$F:$F,"Organic",'Raw Data'!$K:$K,1)/C6,0)</f>
        <v/>
      </c>
      <c r="F6" s="24">
        <f>IFERROR(SUMIFS('Raw Data'!$L:$L,'Raw Data'!$C:$C,"Control",'Raw Data'!$F:$F,"Organic")/B6,0)</f>
        <v/>
      </c>
      <c r="G6" s="24">
        <f>IFERROR(SUMIFS('Raw Data'!$L:$L,'Raw Data'!$C:$C,"Treatment",'Raw Data'!$F:$F,"Organic")/C6,0)</f>
        <v/>
      </c>
      <c r="H6" s="24">
        <f>IFERROR(AVERAGEIFS('Raw Data'!$P:$P,'Raw Data'!$C:$C,"Control",'Raw Data'!$F:$F,"Organic"),0)</f>
        <v/>
      </c>
      <c r="I6" s="24">
        <f>IFERROR(AVERAGEIFS('Raw Data'!$P:$P,'Raw Data'!$C:$C,"Treatment",'Raw Data'!$F:$F,"Organic"),0)</f>
        <v/>
      </c>
      <c r="J6" s="19">
        <f>IF(E6&gt;D6,"Treatment better conversion","Control better/equal conversion")</f>
        <v/>
      </c>
    </row>
    <row r="7">
      <c r="A7" s="19" t="inlineStr">
        <is>
          <t>Paid Search</t>
        </is>
      </c>
      <c r="B7" s="19">
        <f>COUNTIFS('Raw Data'!$C:$C,"Control",'Raw Data'!$F:$F,"Paid Search")</f>
        <v/>
      </c>
      <c r="C7" s="19">
        <f>COUNTIFS('Raw Data'!$C:$C,"Treatment",'Raw Data'!$F:$F,"Paid Search")</f>
        <v/>
      </c>
      <c r="D7" s="21">
        <f>IFERROR(COUNTIFS('Raw Data'!$C:$C,"Control",'Raw Data'!$F:$F,"Paid Search",'Raw Data'!$K:$K,1)/B7,0)</f>
        <v/>
      </c>
      <c r="E7" s="21">
        <f>IFERROR(COUNTIFS('Raw Data'!$C:$C,"Treatment",'Raw Data'!$F:$F,"Paid Search",'Raw Data'!$K:$K,1)/C7,0)</f>
        <v/>
      </c>
      <c r="F7" s="24">
        <f>IFERROR(SUMIFS('Raw Data'!$L:$L,'Raw Data'!$C:$C,"Control",'Raw Data'!$F:$F,"Paid Search")/B7,0)</f>
        <v/>
      </c>
      <c r="G7" s="24">
        <f>IFERROR(SUMIFS('Raw Data'!$L:$L,'Raw Data'!$C:$C,"Treatment",'Raw Data'!$F:$F,"Paid Search")/C7,0)</f>
        <v/>
      </c>
      <c r="H7" s="24">
        <f>IFERROR(AVERAGEIFS('Raw Data'!$P:$P,'Raw Data'!$C:$C,"Control",'Raw Data'!$F:$F,"Paid Search"),0)</f>
        <v/>
      </c>
      <c r="I7" s="24">
        <f>IFERROR(AVERAGEIFS('Raw Data'!$P:$P,'Raw Data'!$C:$C,"Treatment",'Raw Data'!$F:$F,"Paid Search"),0)</f>
        <v/>
      </c>
      <c r="J7" s="19">
        <f>IF(E7&gt;D7,"Treatment better conversion","Control better/equal conversion")</f>
        <v/>
      </c>
    </row>
    <row r="8">
      <c r="A8" s="19" t="inlineStr">
        <is>
          <t>Referral</t>
        </is>
      </c>
      <c r="B8" s="19">
        <f>COUNTIFS('Raw Data'!$C:$C,"Control",'Raw Data'!$F:$F,"Referral")</f>
        <v/>
      </c>
      <c r="C8" s="19">
        <f>COUNTIFS('Raw Data'!$C:$C,"Treatment",'Raw Data'!$F:$F,"Referral")</f>
        <v/>
      </c>
      <c r="D8" s="21">
        <f>IFERROR(COUNTIFS('Raw Data'!$C:$C,"Control",'Raw Data'!$F:$F,"Referral",'Raw Data'!$K:$K,1)/B8,0)</f>
        <v/>
      </c>
      <c r="E8" s="21">
        <f>IFERROR(COUNTIFS('Raw Data'!$C:$C,"Treatment",'Raw Data'!$F:$F,"Referral",'Raw Data'!$K:$K,1)/C8,0)</f>
        <v/>
      </c>
      <c r="F8" s="24">
        <f>IFERROR(SUMIFS('Raw Data'!$L:$L,'Raw Data'!$C:$C,"Control",'Raw Data'!$F:$F,"Referral")/B8,0)</f>
        <v/>
      </c>
      <c r="G8" s="24">
        <f>IFERROR(SUMIFS('Raw Data'!$L:$L,'Raw Data'!$C:$C,"Treatment",'Raw Data'!$F:$F,"Referral")/C8,0)</f>
        <v/>
      </c>
      <c r="H8" s="24">
        <f>IFERROR(AVERAGEIFS('Raw Data'!$P:$P,'Raw Data'!$C:$C,"Control",'Raw Data'!$F:$F,"Referral"),0)</f>
        <v/>
      </c>
      <c r="I8" s="24">
        <f>IFERROR(AVERAGEIFS('Raw Data'!$P:$P,'Raw Data'!$C:$C,"Treatment",'Raw Data'!$F:$F,"Referral"),0)</f>
        <v/>
      </c>
      <c r="J8" s="19">
        <f>IF(E8&gt;D8,"Treatment better conversion","Control better/equal conversion")</f>
        <v/>
      </c>
    </row>
    <row r="9">
      <c r="A9" s="19" t="inlineStr">
        <is>
          <t>Social</t>
        </is>
      </c>
      <c r="B9" s="19">
        <f>COUNTIFS('Raw Data'!$C:$C,"Control",'Raw Data'!$F:$F,"Social")</f>
        <v/>
      </c>
      <c r="C9" s="19">
        <f>COUNTIFS('Raw Data'!$C:$C,"Treatment",'Raw Data'!$F:$F,"Social")</f>
        <v/>
      </c>
      <c r="D9" s="21">
        <f>IFERROR(COUNTIFS('Raw Data'!$C:$C,"Control",'Raw Data'!$F:$F,"Social",'Raw Data'!$K:$K,1)/B9,0)</f>
        <v/>
      </c>
      <c r="E9" s="21">
        <f>IFERROR(COUNTIFS('Raw Data'!$C:$C,"Treatment",'Raw Data'!$F:$F,"Social",'Raw Data'!$K:$K,1)/C9,0)</f>
        <v/>
      </c>
      <c r="F9" s="24">
        <f>IFERROR(SUMIFS('Raw Data'!$L:$L,'Raw Data'!$C:$C,"Control",'Raw Data'!$F:$F,"Social")/B9,0)</f>
        <v/>
      </c>
      <c r="G9" s="24">
        <f>IFERROR(SUMIFS('Raw Data'!$L:$L,'Raw Data'!$C:$C,"Treatment",'Raw Data'!$F:$F,"Social")/C9,0)</f>
        <v/>
      </c>
      <c r="H9" s="24">
        <f>IFERROR(AVERAGEIFS('Raw Data'!$P:$P,'Raw Data'!$C:$C,"Control",'Raw Data'!$F:$F,"Social"),0)</f>
        <v/>
      </c>
      <c r="I9" s="24">
        <f>IFERROR(AVERAGEIFS('Raw Data'!$P:$P,'Raw Data'!$C:$C,"Treatment",'Raw Data'!$F:$F,"Social"),0)</f>
        <v/>
      </c>
      <c r="J9" s="19">
        <f>IF(E9&gt;D9,"Treatment better conversion","Control better/equal conversion")</f>
        <v/>
      </c>
    </row>
    <row r="12">
      <c r="A12" s="25" t="inlineStr">
        <is>
          <t>Student Note</t>
        </is>
      </c>
    </row>
    <row r="13">
      <c r="A13" s="26" t="inlineStr">
        <is>
          <t>This segment sheet compares at least three metrics by group: paid conversion rate, average revenue per user, and average engagement score.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</sheetData>
  <mergeCells count="2">
    <mergeCell ref="A1:J1"/>
    <mergeCell ref="A13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22" customWidth="1" min="9" max="9"/>
    <col width="26" customWidth="1" min="10" max="10"/>
  </cols>
  <sheetData>
    <row r="1">
      <c r="A1" s="27" t="inlineStr">
        <is>
          <t>Plan Type Analysis - Segment Level Metrics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8" t="inlineStr">
        <is>
          <t>Plan Type</t>
        </is>
      </c>
      <c r="B3" s="18" t="inlineStr">
        <is>
          <t>Control Users</t>
        </is>
      </c>
      <c r="C3" s="18" t="inlineStr">
        <is>
          <t>Treatment Users</t>
        </is>
      </c>
      <c r="D3" s="18" t="inlineStr">
        <is>
          <t>Control Paid Conversion Rate</t>
        </is>
      </c>
      <c r="E3" s="18" t="inlineStr">
        <is>
          <t>Treatment Paid Conversion Rate</t>
        </is>
      </c>
      <c r="F3" s="18" t="inlineStr">
        <is>
          <t>Control ARPU</t>
        </is>
      </c>
      <c r="G3" s="18" t="inlineStr">
        <is>
          <t>Treatment ARPU</t>
        </is>
      </c>
      <c r="H3" s="18" t="inlineStr">
        <is>
          <t>Control Avg Engagement</t>
        </is>
      </c>
      <c r="I3" s="18" t="inlineStr">
        <is>
          <t>Treatment Avg Engagement</t>
        </is>
      </c>
      <c r="J3" s="18" t="inlineStr">
        <is>
          <t>Quick Comment</t>
        </is>
      </c>
    </row>
    <row r="4">
      <c r="A4" s="19" t="inlineStr">
        <is>
          <t>Basic</t>
        </is>
      </c>
      <c r="B4" s="19">
        <f>COUNTIFS('Raw Data'!$C:$C,"Control",'Raw Data'!$G:$G,"Basic")</f>
        <v/>
      </c>
      <c r="C4" s="19">
        <f>COUNTIFS('Raw Data'!$C:$C,"Treatment",'Raw Data'!$G:$G,"Basic")</f>
        <v/>
      </c>
      <c r="D4" s="21">
        <f>IFERROR(COUNTIFS('Raw Data'!$C:$C,"Control",'Raw Data'!$G:$G,"Basic",'Raw Data'!$K:$K,1)/B4,0)</f>
        <v/>
      </c>
      <c r="E4" s="21">
        <f>IFERROR(COUNTIFS('Raw Data'!$C:$C,"Treatment",'Raw Data'!$G:$G,"Basic",'Raw Data'!$K:$K,1)/C4,0)</f>
        <v/>
      </c>
      <c r="F4" s="24">
        <f>IFERROR(SUMIFS('Raw Data'!$L:$L,'Raw Data'!$C:$C,"Control",'Raw Data'!$G:$G,"Basic")/B4,0)</f>
        <v/>
      </c>
      <c r="G4" s="24">
        <f>IFERROR(SUMIFS('Raw Data'!$L:$L,'Raw Data'!$C:$C,"Treatment",'Raw Data'!$G:$G,"Basic")/C4,0)</f>
        <v/>
      </c>
      <c r="H4" s="24">
        <f>IFERROR(AVERAGEIFS('Raw Data'!$P:$P,'Raw Data'!$C:$C,"Control",'Raw Data'!$G:$G,"Basic"),0)</f>
        <v/>
      </c>
      <c r="I4" s="24">
        <f>IFERROR(AVERAGEIFS('Raw Data'!$P:$P,'Raw Data'!$C:$C,"Treatment",'Raw Data'!$G:$G,"Basic"),0)</f>
        <v/>
      </c>
      <c r="J4" s="19">
        <f>IF(E4&gt;D4,"Treatment better conversion","Control better/equal conversion")</f>
        <v/>
      </c>
    </row>
    <row r="5">
      <c r="A5" s="19" t="inlineStr">
        <is>
          <t>Free</t>
        </is>
      </c>
      <c r="B5" s="19">
        <f>COUNTIFS('Raw Data'!$C:$C,"Control",'Raw Data'!$G:$G,"Free")</f>
        <v/>
      </c>
      <c r="C5" s="19">
        <f>COUNTIFS('Raw Data'!$C:$C,"Treatment",'Raw Data'!$G:$G,"Free")</f>
        <v/>
      </c>
      <c r="D5" s="21">
        <f>IFERROR(COUNTIFS('Raw Data'!$C:$C,"Control",'Raw Data'!$G:$G,"Free",'Raw Data'!$K:$K,1)/B5,0)</f>
        <v/>
      </c>
      <c r="E5" s="21">
        <f>IFERROR(COUNTIFS('Raw Data'!$C:$C,"Treatment",'Raw Data'!$G:$G,"Free",'Raw Data'!$K:$K,1)/C5,0)</f>
        <v/>
      </c>
      <c r="F5" s="24">
        <f>IFERROR(SUMIFS('Raw Data'!$L:$L,'Raw Data'!$C:$C,"Control",'Raw Data'!$G:$G,"Free")/B5,0)</f>
        <v/>
      </c>
      <c r="G5" s="24">
        <f>IFERROR(SUMIFS('Raw Data'!$L:$L,'Raw Data'!$C:$C,"Treatment",'Raw Data'!$G:$G,"Free")/C5,0)</f>
        <v/>
      </c>
      <c r="H5" s="24">
        <f>IFERROR(AVERAGEIFS('Raw Data'!$P:$P,'Raw Data'!$C:$C,"Control",'Raw Data'!$G:$G,"Free"),0)</f>
        <v/>
      </c>
      <c r="I5" s="24">
        <f>IFERROR(AVERAGEIFS('Raw Data'!$P:$P,'Raw Data'!$C:$C,"Treatment",'Raw Data'!$G:$G,"Free"),0)</f>
        <v/>
      </c>
      <c r="J5" s="19">
        <f>IF(E5&gt;D5,"Treatment better conversion","Control better/equal conversion")</f>
        <v/>
      </c>
    </row>
    <row r="6">
      <c r="A6" s="19" t="inlineStr">
        <is>
          <t>Premium</t>
        </is>
      </c>
      <c r="B6" s="19">
        <f>COUNTIFS('Raw Data'!$C:$C,"Control",'Raw Data'!$G:$G,"Premium")</f>
        <v/>
      </c>
      <c r="C6" s="19">
        <f>COUNTIFS('Raw Data'!$C:$C,"Treatment",'Raw Data'!$G:$G,"Premium")</f>
        <v/>
      </c>
      <c r="D6" s="21">
        <f>IFERROR(COUNTIFS('Raw Data'!$C:$C,"Control",'Raw Data'!$G:$G,"Premium",'Raw Data'!$K:$K,1)/B6,0)</f>
        <v/>
      </c>
      <c r="E6" s="21">
        <f>IFERROR(COUNTIFS('Raw Data'!$C:$C,"Treatment",'Raw Data'!$G:$G,"Premium",'Raw Data'!$K:$K,1)/C6,0)</f>
        <v/>
      </c>
      <c r="F6" s="24">
        <f>IFERROR(SUMIFS('Raw Data'!$L:$L,'Raw Data'!$C:$C,"Control",'Raw Data'!$G:$G,"Premium")/B6,0)</f>
        <v/>
      </c>
      <c r="G6" s="24">
        <f>IFERROR(SUMIFS('Raw Data'!$L:$L,'Raw Data'!$C:$C,"Treatment",'Raw Data'!$G:$G,"Premium")/C6,0)</f>
        <v/>
      </c>
      <c r="H6" s="24">
        <f>IFERROR(AVERAGEIFS('Raw Data'!$P:$P,'Raw Data'!$C:$C,"Control",'Raw Data'!$G:$G,"Premium"),0)</f>
        <v/>
      </c>
      <c r="I6" s="24">
        <f>IFERROR(AVERAGEIFS('Raw Data'!$P:$P,'Raw Data'!$C:$C,"Treatment",'Raw Data'!$G:$G,"Premium"),0)</f>
        <v/>
      </c>
      <c r="J6" s="19">
        <f>IF(E6&gt;D6,"Treatment better conversion","Control better/equal conversion")</f>
        <v/>
      </c>
    </row>
    <row r="9">
      <c r="A9" s="25" t="inlineStr">
        <is>
          <t>Student Note</t>
        </is>
      </c>
    </row>
    <row r="10">
      <c r="A10" s="26" t="inlineStr">
        <is>
          <t>This segment sheet compares at least three metrics by group: paid conversion rate, average revenue per user, and average engagement score.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</sheetData>
  <mergeCells count="2">
    <mergeCell ref="A1:J1"/>
    <mergeCell ref="A10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8" customHeight="1">
      <c r="A1" s="28" t="inlineStr">
        <is>
          <t>user_id</t>
        </is>
      </c>
      <c r="B1" s="28" t="inlineStr">
        <is>
          <t>signup_date</t>
        </is>
      </c>
      <c r="C1" s="28" t="inlineStr">
        <is>
          <t>experiment_group</t>
        </is>
      </c>
      <c r="D1" s="28" t="inlineStr">
        <is>
          <t>region</t>
        </is>
      </c>
      <c r="E1" s="28" t="inlineStr">
        <is>
          <t>device_type</t>
        </is>
      </c>
      <c r="F1" s="28" t="inlineStr">
        <is>
          <t>traffic_source</t>
        </is>
      </c>
      <c r="G1" s="28" t="inlineStr">
        <is>
          <t>plan_type</t>
        </is>
      </c>
      <c r="H1" s="28" t="inlineStr">
        <is>
          <t>visited_landing_page</t>
        </is>
      </c>
      <c r="I1" s="28" t="inlineStr">
        <is>
          <t>started_trial</t>
        </is>
      </c>
      <c r="J1" s="28" t="inlineStr">
        <is>
          <t>completed_onboarding</t>
        </is>
      </c>
      <c r="K1" s="28" t="inlineStr">
        <is>
          <t>converted_to_paid</t>
        </is>
      </c>
      <c r="L1" s="28" t="inlineStr">
        <is>
          <t>revenue_30d</t>
        </is>
      </c>
      <c r="M1" s="28" t="inlineStr">
        <is>
          <t>support_tickets_30d</t>
        </is>
      </c>
      <c r="N1" s="28" t="inlineStr">
        <is>
          <t>refund_requested</t>
        </is>
      </c>
      <c r="O1" s="28" t="inlineStr">
        <is>
          <t>days_to_convert</t>
        </is>
      </c>
      <c r="P1" s="28" t="inlineStr">
        <is>
          <t>engagement_score</t>
        </is>
      </c>
    </row>
    <row r="2">
      <c r="A2" s="12" t="inlineStr">
        <is>
          <t>USR-100001</t>
        </is>
      </c>
      <c r="B2" s="29" t="n">
        <v>45732</v>
      </c>
      <c r="C2" s="12" t="inlineStr">
        <is>
          <t>Control</t>
        </is>
      </c>
      <c r="D2" s="12" t="inlineStr">
        <is>
          <t>North</t>
        </is>
      </c>
      <c r="E2" s="12" t="inlineStr">
        <is>
          <t>Desktop</t>
        </is>
      </c>
      <c r="F2" s="12" t="inlineStr">
        <is>
          <t>Email</t>
        </is>
      </c>
      <c r="G2" s="12" t="inlineStr">
        <is>
          <t>Basic</t>
        </is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/>
      <c r="P2" s="12" t="n">
        <v>45.7</v>
      </c>
    </row>
    <row r="3">
      <c r="A3" s="12" t="inlineStr">
        <is>
          <t>USR-100002</t>
        </is>
      </c>
      <c r="B3" s="29" t="n">
        <v>45724</v>
      </c>
      <c r="C3" s="12" t="inlineStr">
        <is>
          <t>Control</t>
        </is>
      </c>
      <c r="D3" s="12" t="inlineStr">
        <is>
          <t>West</t>
        </is>
      </c>
      <c r="E3" s="12" t="inlineStr">
        <is>
          <t>Mobile</t>
        </is>
      </c>
      <c r="F3" s="12" t="inlineStr">
        <is>
          <t>Organic</t>
        </is>
      </c>
      <c r="G3" s="12" t="inlineStr">
        <is>
          <t>Free</t>
        </is>
      </c>
      <c r="H3" s="12" t="n">
        <v>1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/>
      <c r="P3" s="12" t="n">
        <v>48.6</v>
      </c>
    </row>
    <row r="4">
      <c r="A4" s="12" t="inlineStr">
        <is>
          <t>USR-100003</t>
        </is>
      </c>
      <c r="B4" s="29" t="n">
        <v>45771</v>
      </c>
      <c r="C4" s="12" t="inlineStr">
        <is>
          <t>Control</t>
        </is>
      </c>
      <c r="D4" s="12" t="inlineStr">
        <is>
          <t>East</t>
        </is>
      </c>
      <c r="E4" s="12" t="inlineStr">
        <is>
          <t>Mobile</t>
        </is>
      </c>
      <c r="F4" s="12" t="inlineStr">
        <is>
          <t>Paid Search</t>
        </is>
      </c>
      <c r="G4" s="12" t="inlineStr">
        <is>
          <t>Premium</t>
        </is>
      </c>
      <c r="H4" s="12" t="n">
        <v>1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1</v>
      </c>
      <c r="N4" s="12" t="n">
        <v>0</v>
      </c>
      <c r="O4" s="12" t="n"/>
      <c r="P4" s="12" t="n">
        <v>35.4</v>
      </c>
    </row>
    <row r="5">
      <c r="A5" s="12" t="inlineStr">
        <is>
          <t>USR-100004</t>
        </is>
      </c>
      <c r="B5" s="29" t="n">
        <v>45781</v>
      </c>
      <c r="C5" s="12" t="inlineStr">
        <is>
          <t>Control</t>
        </is>
      </c>
      <c r="D5" s="12" t="inlineStr">
        <is>
          <t>South</t>
        </is>
      </c>
      <c r="E5" s="12" t="inlineStr">
        <is>
          <t>Mobile</t>
        </is>
      </c>
      <c r="F5" s="12" t="inlineStr">
        <is>
          <t>Email</t>
        </is>
      </c>
      <c r="G5" s="12" t="inlineStr">
        <is>
          <t>Basic</t>
        </is>
      </c>
      <c r="H5" s="12" t="n">
        <v>1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/>
      <c r="P5" s="12" t="n">
        <v>64.59999999999999</v>
      </c>
    </row>
    <row r="6">
      <c r="A6" s="12" t="inlineStr">
        <is>
          <t>USR-100005</t>
        </is>
      </c>
      <c r="B6" s="29" t="n">
        <v>45700</v>
      </c>
      <c r="C6" s="12" t="inlineStr">
        <is>
          <t>Control</t>
        </is>
      </c>
      <c r="D6" s="12" t="inlineStr">
        <is>
          <t>North</t>
        </is>
      </c>
      <c r="E6" s="12" t="inlineStr">
        <is>
          <t>Tablet</t>
        </is>
      </c>
      <c r="F6" s="12" t="inlineStr">
        <is>
          <t>Organic</t>
        </is>
      </c>
      <c r="G6" s="12" t="inlineStr">
        <is>
          <t>Free</t>
        </is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/>
      <c r="P6" s="12" t="n">
        <v>66.59999999999999</v>
      </c>
    </row>
    <row r="7">
      <c r="A7" s="12" t="inlineStr">
        <is>
          <t>USR-100006</t>
        </is>
      </c>
      <c r="B7" s="29" t="n">
        <v>45685</v>
      </c>
      <c r="C7" s="12" t="inlineStr">
        <is>
          <t>Control</t>
        </is>
      </c>
      <c r="D7" s="12" t="inlineStr">
        <is>
          <t>East</t>
        </is>
      </c>
      <c r="E7" s="12" t="inlineStr">
        <is>
          <t>Mobile</t>
        </is>
      </c>
      <c r="F7" s="12" t="inlineStr">
        <is>
          <t>Organic</t>
        </is>
      </c>
      <c r="G7" s="12" t="inlineStr">
        <is>
          <t>Premium</t>
        </is>
      </c>
      <c r="H7" s="12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/>
      <c r="P7" s="12" t="n">
        <v>40.8</v>
      </c>
    </row>
    <row r="8">
      <c r="A8" s="12" t="inlineStr">
        <is>
          <t>USR-100007</t>
        </is>
      </c>
      <c r="B8" s="29" t="n">
        <v>45755</v>
      </c>
      <c r="C8" s="12" t="inlineStr">
        <is>
          <t>Control</t>
        </is>
      </c>
      <c r="D8" s="12" t="inlineStr">
        <is>
          <t>East</t>
        </is>
      </c>
      <c r="E8" s="12" t="inlineStr">
        <is>
          <t>Mobile</t>
        </is>
      </c>
      <c r="F8" s="12" t="inlineStr">
        <is>
          <t>Paid Search</t>
        </is>
      </c>
      <c r="G8" s="12" t="inlineStr">
        <is>
          <t>Basic</t>
        </is>
      </c>
      <c r="H8" s="12" t="n">
        <v>1</v>
      </c>
      <c r="I8" s="12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/>
      <c r="P8" s="12" t="n">
        <v>57.1</v>
      </c>
    </row>
    <row r="9">
      <c r="A9" s="12" t="inlineStr">
        <is>
          <t>USR-100008</t>
        </is>
      </c>
      <c r="B9" s="29" t="n">
        <v>45794</v>
      </c>
      <c r="C9" s="12" t="inlineStr">
        <is>
          <t>Control</t>
        </is>
      </c>
      <c r="D9" s="12" t="inlineStr">
        <is>
          <t>South</t>
        </is>
      </c>
      <c r="E9" s="12" t="inlineStr">
        <is>
          <t>Mobile</t>
        </is>
      </c>
      <c r="F9" s="12" t="inlineStr">
        <is>
          <t>Paid Search</t>
        </is>
      </c>
      <c r="G9" s="12" t="inlineStr">
        <is>
          <t>Free</t>
        </is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/>
      <c r="P9" s="12" t="n">
        <v>36.4</v>
      </c>
    </row>
    <row r="10">
      <c r="A10" s="12" t="inlineStr">
        <is>
          <t>USR-100009</t>
        </is>
      </c>
      <c r="B10" s="29" t="n">
        <v>45711</v>
      </c>
      <c r="C10" s="12" t="inlineStr">
        <is>
          <t>Control</t>
        </is>
      </c>
      <c r="D10" s="12" t="inlineStr">
        <is>
          <t>South</t>
        </is>
      </c>
      <c r="E10" s="12" t="inlineStr">
        <is>
          <t>Tablet</t>
        </is>
      </c>
      <c r="F10" s="12" t="inlineStr">
        <is>
          <t>Referral</t>
        </is>
      </c>
      <c r="G10" s="12" t="inlineStr">
        <is>
          <t>Basic</t>
        </is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/>
      <c r="P10" s="12" t="n">
        <v>55.4</v>
      </c>
    </row>
    <row r="11">
      <c r="A11" s="12" t="inlineStr">
        <is>
          <t>USR-100010</t>
        </is>
      </c>
      <c r="B11" s="29" t="n">
        <v>45806</v>
      </c>
      <c r="C11" s="12" t="inlineStr">
        <is>
          <t>Control</t>
        </is>
      </c>
      <c r="D11" s="12" t="inlineStr">
        <is>
          <t>West</t>
        </is>
      </c>
      <c r="E11" s="12" t="inlineStr">
        <is>
          <t>Desktop</t>
        </is>
      </c>
      <c r="F11" s="12" t="inlineStr">
        <is>
          <t>Social</t>
        </is>
      </c>
      <c r="G11" s="12" t="inlineStr">
        <is>
          <t>Free</t>
        </is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/>
      <c r="P11" s="12" t="n">
        <v>57.3</v>
      </c>
    </row>
    <row r="12">
      <c r="A12" s="12" t="inlineStr">
        <is>
          <t>USR-100011</t>
        </is>
      </c>
      <c r="B12" s="29" t="n">
        <v>45777</v>
      </c>
      <c r="C12" s="12" t="inlineStr">
        <is>
          <t>Control</t>
        </is>
      </c>
      <c r="D12" s="12" t="inlineStr">
        <is>
          <t>East</t>
        </is>
      </c>
      <c r="E12" s="12" t="inlineStr">
        <is>
          <t>Mobile</t>
        </is>
      </c>
      <c r="F12" s="12" t="inlineStr">
        <is>
          <t>Paid Search</t>
        </is>
      </c>
      <c r="G12" s="12" t="inlineStr">
        <is>
          <t>Basic</t>
        </is>
      </c>
      <c r="H12" s="12" t="n">
        <v>1</v>
      </c>
      <c r="I12" s="12" t="n">
        <v>1</v>
      </c>
      <c r="J12" s="12" t="n">
        <v>1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/>
      <c r="P12" s="12" t="n">
        <v>63.6</v>
      </c>
    </row>
    <row r="13">
      <c r="A13" s="12" t="inlineStr">
        <is>
          <t>USR-100012</t>
        </is>
      </c>
      <c r="B13" s="29" t="n">
        <v>45732</v>
      </c>
      <c r="C13" s="12" t="inlineStr">
        <is>
          <t>Control</t>
        </is>
      </c>
      <c r="D13" s="12" t="inlineStr">
        <is>
          <t>East</t>
        </is>
      </c>
      <c r="E13" s="12" t="inlineStr">
        <is>
          <t>Mobile</t>
        </is>
      </c>
      <c r="F13" s="12" t="inlineStr">
        <is>
          <t>Social</t>
        </is>
      </c>
      <c r="G13" s="12" t="inlineStr">
        <is>
          <t>Premium</t>
        </is>
      </c>
      <c r="H13" s="12" t="n">
        <v>1</v>
      </c>
      <c r="I13" s="12" t="n">
        <v>1</v>
      </c>
      <c r="J13" s="12" t="n">
        <v>1</v>
      </c>
      <c r="K13" s="12" t="n">
        <v>0</v>
      </c>
      <c r="L13" s="12" t="n">
        <v>0</v>
      </c>
      <c r="M13" s="12" t="n">
        <v>1</v>
      </c>
      <c r="N13" s="12" t="n">
        <v>0</v>
      </c>
      <c r="O13" s="12" t="n"/>
      <c r="P13" s="12" t="n">
        <v>80.40000000000001</v>
      </c>
    </row>
    <row r="14">
      <c r="A14" s="12" t="inlineStr">
        <is>
          <t>USR-100013</t>
        </is>
      </c>
      <c r="B14" s="29" t="n">
        <v>45695</v>
      </c>
      <c r="C14" s="12" t="inlineStr">
        <is>
          <t>Control</t>
        </is>
      </c>
      <c r="D14" s="12" t="inlineStr">
        <is>
          <t>South</t>
        </is>
      </c>
      <c r="E14" s="12" t="inlineStr">
        <is>
          <t>Desktop</t>
        </is>
      </c>
      <c r="F14" s="12" t="inlineStr">
        <is>
          <t>Email</t>
        </is>
      </c>
      <c r="G14" s="12" t="inlineStr">
        <is>
          <t>Basic</t>
        </is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/>
      <c r="P14" s="12" t="n">
        <v>62.4</v>
      </c>
    </row>
    <row r="15">
      <c r="A15" s="12" t="inlineStr">
        <is>
          <t>USR-100014</t>
        </is>
      </c>
      <c r="B15" s="29" t="n">
        <v>45718</v>
      </c>
      <c r="C15" s="12" t="inlineStr">
        <is>
          <t>Control</t>
        </is>
      </c>
      <c r="D15" s="12" t="inlineStr">
        <is>
          <t>West</t>
        </is>
      </c>
      <c r="E15" s="12" t="inlineStr">
        <is>
          <t>Mobile</t>
        </is>
      </c>
      <c r="F15" s="12" t="inlineStr">
        <is>
          <t>Social</t>
        </is>
      </c>
      <c r="G15" s="12" t="inlineStr">
        <is>
          <t>Basic</t>
        </is>
      </c>
      <c r="H15" s="12" t="n">
        <v>1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/>
      <c r="P15" s="12" t="n">
        <v>82.40000000000001</v>
      </c>
    </row>
    <row r="16">
      <c r="A16" s="12" t="inlineStr">
        <is>
          <t>USR-100015</t>
        </is>
      </c>
      <c r="B16" s="29" t="n">
        <v>45807</v>
      </c>
      <c r="C16" s="12" t="inlineStr">
        <is>
          <t>Control</t>
        </is>
      </c>
      <c r="D16" s="12" t="inlineStr">
        <is>
          <t>South</t>
        </is>
      </c>
      <c r="E16" s="12" t="inlineStr">
        <is>
          <t>Mobile</t>
        </is>
      </c>
      <c r="F16" s="12" t="inlineStr">
        <is>
          <t>Organic</t>
        </is>
      </c>
      <c r="G16" s="12" t="inlineStr">
        <is>
          <t>Basic</t>
        </is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/>
      <c r="P16" s="12" t="n">
        <v>61.2</v>
      </c>
    </row>
    <row r="17">
      <c r="A17" s="12" t="inlineStr">
        <is>
          <t>USR-100016</t>
        </is>
      </c>
      <c r="B17" s="29" t="n">
        <v>45741</v>
      </c>
      <c r="C17" s="12" t="inlineStr">
        <is>
          <t>Control</t>
        </is>
      </c>
      <c r="D17" s="12" t="inlineStr">
        <is>
          <t>South</t>
        </is>
      </c>
      <c r="E17" s="12" t="inlineStr">
        <is>
          <t>Mobile</t>
        </is>
      </c>
      <c r="F17" s="12" t="inlineStr">
        <is>
          <t>Social</t>
        </is>
      </c>
      <c r="G17" s="12" t="inlineStr">
        <is>
          <t>Basic</t>
        </is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/>
      <c r="P17" s="12" t="n">
        <v>68.90000000000001</v>
      </c>
    </row>
    <row r="18">
      <c r="A18" s="12" t="inlineStr">
        <is>
          <t>USR-100017</t>
        </is>
      </c>
      <c r="B18" s="29" t="n">
        <v>45743</v>
      </c>
      <c r="C18" s="12" t="inlineStr">
        <is>
          <t>Control</t>
        </is>
      </c>
      <c r="D18" s="12" t="inlineStr">
        <is>
          <t>East</t>
        </is>
      </c>
      <c r="E18" s="12" t="inlineStr">
        <is>
          <t>Desktop</t>
        </is>
      </c>
      <c r="F18" s="12" t="inlineStr">
        <is>
          <t>Paid Search</t>
        </is>
      </c>
      <c r="G18" s="12" t="inlineStr">
        <is>
          <t>Free</t>
        </is>
      </c>
      <c r="H18" s="12" t="n">
        <v>1</v>
      </c>
      <c r="I18" s="12" t="n">
        <v>1</v>
      </c>
      <c r="J18" s="12" t="n">
        <v>1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/>
      <c r="P18" s="12" t="n">
        <v>71.90000000000001</v>
      </c>
    </row>
    <row r="19">
      <c r="A19" s="12" t="inlineStr">
        <is>
          <t>USR-100018</t>
        </is>
      </c>
      <c r="B19" s="29" t="n">
        <v>45805</v>
      </c>
      <c r="C19" s="12" t="inlineStr">
        <is>
          <t>Control</t>
        </is>
      </c>
      <c r="D19" s="12" t="inlineStr">
        <is>
          <t>South</t>
        </is>
      </c>
      <c r="E19" s="12" t="inlineStr">
        <is>
          <t>Desktop</t>
        </is>
      </c>
      <c r="F19" s="12" t="inlineStr">
        <is>
          <t>Paid Search</t>
        </is>
      </c>
      <c r="G19" s="12" t="inlineStr">
        <is>
          <t>Free</t>
        </is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/>
      <c r="P19" s="12" t="n">
        <v>50.5</v>
      </c>
    </row>
    <row r="20">
      <c r="A20" s="12" t="inlineStr">
        <is>
          <t>USR-100019</t>
        </is>
      </c>
      <c r="B20" s="29" t="n">
        <v>45703</v>
      </c>
      <c r="C20" s="12" t="inlineStr">
        <is>
          <t>Control</t>
        </is>
      </c>
      <c r="D20" s="12" t="inlineStr">
        <is>
          <t>North</t>
        </is>
      </c>
      <c r="E20" s="12" t="inlineStr">
        <is>
          <t>Desktop</t>
        </is>
      </c>
      <c r="F20" s="12" t="inlineStr">
        <is>
          <t>Paid Search</t>
        </is>
      </c>
      <c r="G20" s="12" t="inlineStr">
        <is>
          <t>Basic</t>
        </is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/>
      <c r="P20" s="12" t="n">
        <v>49.3</v>
      </c>
    </row>
    <row r="21">
      <c r="A21" s="12" t="inlineStr">
        <is>
          <t>USR-100020</t>
        </is>
      </c>
      <c r="B21" s="29" t="n">
        <v>45782</v>
      </c>
      <c r="C21" s="12" t="inlineStr">
        <is>
          <t>Control</t>
        </is>
      </c>
      <c r="D21" s="12" t="inlineStr">
        <is>
          <t>West</t>
        </is>
      </c>
      <c r="E21" s="12" t="inlineStr">
        <is>
          <t>Desktop</t>
        </is>
      </c>
      <c r="F21" s="12" t="inlineStr">
        <is>
          <t>Organic</t>
        </is>
      </c>
      <c r="G21" s="12" t="inlineStr">
        <is>
          <t>Basic</t>
        </is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2</v>
      </c>
      <c r="N21" s="12" t="n">
        <v>0</v>
      </c>
      <c r="O21" s="12" t="n"/>
      <c r="P21" s="12" t="n">
        <v>60.9</v>
      </c>
    </row>
    <row r="22">
      <c r="A22" s="12" t="inlineStr">
        <is>
          <t>USR-100021</t>
        </is>
      </c>
      <c r="B22" s="29" t="n">
        <v>45760</v>
      </c>
      <c r="C22" s="12" t="inlineStr">
        <is>
          <t>Control</t>
        </is>
      </c>
      <c r="D22" s="12" t="inlineStr">
        <is>
          <t>East</t>
        </is>
      </c>
      <c r="E22" s="12" t="inlineStr">
        <is>
          <t>Mobile</t>
        </is>
      </c>
      <c r="F22" s="12" t="inlineStr">
        <is>
          <t>Social</t>
        </is>
      </c>
      <c r="G22" s="12" t="inlineStr">
        <is>
          <t>Free</t>
        </is>
      </c>
      <c r="H22" s="12" t="n">
        <v>1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/>
      <c r="P22" s="12" t="n">
        <v>62.7</v>
      </c>
    </row>
    <row r="23">
      <c r="A23" s="12" t="inlineStr">
        <is>
          <t>USR-100022</t>
        </is>
      </c>
      <c r="B23" s="29" t="n">
        <v>45784</v>
      </c>
      <c r="C23" s="12" t="inlineStr">
        <is>
          <t>Control</t>
        </is>
      </c>
      <c r="D23" s="12" t="inlineStr">
        <is>
          <t>North</t>
        </is>
      </c>
      <c r="E23" s="12" t="inlineStr">
        <is>
          <t>Desktop</t>
        </is>
      </c>
      <c r="F23" s="12" t="inlineStr">
        <is>
          <t>Paid Search</t>
        </is>
      </c>
      <c r="G23" s="12" t="inlineStr">
        <is>
          <t>Free</t>
        </is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/>
      <c r="P23" s="12" t="n">
        <v>52.7</v>
      </c>
    </row>
    <row r="24">
      <c r="A24" s="12" t="inlineStr">
        <is>
          <t>USR-100023</t>
        </is>
      </c>
      <c r="B24" s="29" t="n">
        <v>45802</v>
      </c>
      <c r="C24" s="12" t="inlineStr">
        <is>
          <t>Control</t>
        </is>
      </c>
      <c r="D24" s="12" t="inlineStr">
        <is>
          <t>North</t>
        </is>
      </c>
      <c r="E24" s="12" t="inlineStr">
        <is>
          <t>Desktop</t>
        </is>
      </c>
      <c r="F24" s="12" t="inlineStr">
        <is>
          <t>Organic</t>
        </is>
      </c>
      <c r="G24" s="12" t="inlineStr">
        <is>
          <t>Free</t>
        </is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/>
      <c r="P24" s="12" t="n">
        <v>54</v>
      </c>
    </row>
    <row r="25">
      <c r="A25" s="12" t="inlineStr">
        <is>
          <t>USR-100024</t>
        </is>
      </c>
      <c r="B25" s="29" t="n">
        <v>45748</v>
      </c>
      <c r="C25" s="12" t="inlineStr">
        <is>
          <t>Control</t>
        </is>
      </c>
      <c r="D25" s="12" t="inlineStr">
        <is>
          <t>East</t>
        </is>
      </c>
      <c r="E25" s="12" t="inlineStr">
        <is>
          <t>Mobile</t>
        </is>
      </c>
      <c r="F25" s="12" t="inlineStr">
        <is>
          <t>Paid Search</t>
        </is>
      </c>
      <c r="G25" s="12" t="inlineStr">
        <is>
          <t>Premium</t>
        </is>
      </c>
      <c r="H25" s="12" t="n">
        <v>1</v>
      </c>
      <c r="I25" s="12" t="n">
        <v>1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/>
      <c r="P25" s="12" t="n">
        <v>51.6</v>
      </c>
    </row>
    <row r="26">
      <c r="A26" s="12" t="inlineStr">
        <is>
          <t>USR-100025</t>
        </is>
      </c>
      <c r="B26" s="29" t="n">
        <v>45710</v>
      </c>
      <c r="C26" s="12" t="inlineStr">
        <is>
          <t>Control</t>
        </is>
      </c>
      <c r="D26" s="12" t="inlineStr">
        <is>
          <t>North</t>
        </is>
      </c>
      <c r="E26" s="12" t="inlineStr">
        <is>
          <t>Mobile</t>
        </is>
      </c>
      <c r="F26" s="12" t="inlineStr">
        <is>
          <t>Paid Search</t>
        </is>
      </c>
      <c r="G26" s="12" t="inlineStr">
        <is>
          <t>Premium</t>
        </is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2</v>
      </c>
      <c r="N26" s="12" t="n">
        <v>0</v>
      </c>
      <c r="O26" s="12" t="n"/>
      <c r="P26" s="12" t="n">
        <v>66.90000000000001</v>
      </c>
    </row>
    <row r="27">
      <c r="A27" s="12" t="inlineStr">
        <is>
          <t>USR-100026</t>
        </is>
      </c>
      <c r="B27" s="29" t="n">
        <v>45740</v>
      </c>
      <c r="C27" s="12" t="inlineStr">
        <is>
          <t>Control</t>
        </is>
      </c>
      <c r="D27" s="12" t="inlineStr">
        <is>
          <t>East</t>
        </is>
      </c>
      <c r="E27" s="12" t="inlineStr">
        <is>
          <t>Mobile</t>
        </is>
      </c>
      <c r="F27" s="12" t="inlineStr">
        <is>
          <t>Organic</t>
        </is>
      </c>
      <c r="G27" s="12" t="inlineStr">
        <is>
          <t>Basic</t>
        </is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/>
      <c r="P27" s="12" t="n">
        <v>67.40000000000001</v>
      </c>
    </row>
    <row r="28">
      <c r="A28" s="12" t="inlineStr">
        <is>
          <t>USR-100027</t>
        </is>
      </c>
      <c r="B28" s="29" t="n">
        <v>45701</v>
      </c>
      <c r="C28" s="12" t="inlineStr">
        <is>
          <t>Control</t>
        </is>
      </c>
      <c r="D28" s="12" t="inlineStr">
        <is>
          <t>North</t>
        </is>
      </c>
      <c r="E28" s="12" t="inlineStr">
        <is>
          <t>Mobile</t>
        </is>
      </c>
      <c r="F28" s="12" t="inlineStr">
        <is>
          <t>Organic</t>
        </is>
      </c>
      <c r="G28" s="12" t="inlineStr">
        <is>
          <t>Free</t>
        </is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/>
      <c r="P28" s="12" t="n">
        <v>58.8</v>
      </c>
    </row>
    <row r="29">
      <c r="A29" s="12" t="inlineStr">
        <is>
          <t>USR-100028</t>
        </is>
      </c>
      <c r="B29" s="29" t="n">
        <v>45807</v>
      </c>
      <c r="C29" s="12" t="inlineStr">
        <is>
          <t>Control</t>
        </is>
      </c>
      <c r="D29" s="12" t="inlineStr">
        <is>
          <t>South</t>
        </is>
      </c>
      <c r="E29" s="12" t="inlineStr">
        <is>
          <t>Mobile</t>
        </is>
      </c>
      <c r="F29" s="12" t="inlineStr">
        <is>
          <t>Organic</t>
        </is>
      </c>
      <c r="G29" s="12" t="inlineStr">
        <is>
          <t>Free</t>
        </is>
      </c>
      <c r="H29" s="12" t="n">
        <v>1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/>
      <c r="P29" s="12" t="n">
        <v>73.8</v>
      </c>
    </row>
    <row r="30">
      <c r="A30" s="12" t="inlineStr">
        <is>
          <t>USR-100029</t>
        </is>
      </c>
      <c r="B30" s="29" t="n">
        <v>45677</v>
      </c>
      <c r="C30" s="12" t="inlineStr">
        <is>
          <t>Control</t>
        </is>
      </c>
      <c r="D30" s="12" t="inlineStr">
        <is>
          <t>East</t>
        </is>
      </c>
      <c r="E30" s="12" t="inlineStr">
        <is>
          <t>Tablet</t>
        </is>
      </c>
      <c r="F30" s="12" t="inlineStr">
        <is>
          <t>Organic</t>
        </is>
      </c>
      <c r="G30" s="12" t="inlineStr">
        <is>
          <t>Basic</t>
        </is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/>
      <c r="P30" s="12" t="n">
        <v>60.1</v>
      </c>
    </row>
    <row r="31">
      <c r="A31" s="12" t="inlineStr">
        <is>
          <t>USR-100030</t>
        </is>
      </c>
      <c r="B31" s="29" t="n">
        <v>45796</v>
      </c>
      <c r="C31" s="12" t="inlineStr">
        <is>
          <t>Control</t>
        </is>
      </c>
      <c r="D31" s="12" t="inlineStr">
        <is>
          <t>East</t>
        </is>
      </c>
      <c r="E31" s="12" t="inlineStr">
        <is>
          <t>Mobile</t>
        </is>
      </c>
      <c r="F31" s="12" t="inlineStr">
        <is>
          <t>Social</t>
        </is>
      </c>
      <c r="G31" s="12" t="inlineStr">
        <is>
          <t>Basic</t>
        </is>
      </c>
      <c r="H31" s="12" t="n">
        <v>1</v>
      </c>
      <c r="I31" s="12" t="n">
        <v>1</v>
      </c>
      <c r="J31" s="12" t="n">
        <v>1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/>
      <c r="P31" s="12" t="n">
        <v>41</v>
      </c>
    </row>
    <row r="32">
      <c r="A32" s="12" t="inlineStr">
        <is>
          <t>USR-100031</t>
        </is>
      </c>
      <c r="B32" s="29" t="n">
        <v>45706</v>
      </c>
      <c r="C32" s="12" t="inlineStr">
        <is>
          <t>Control</t>
        </is>
      </c>
      <c r="D32" s="12" t="inlineStr">
        <is>
          <t>South</t>
        </is>
      </c>
      <c r="E32" s="12" t="inlineStr">
        <is>
          <t>Mobile</t>
        </is>
      </c>
      <c r="F32" s="12" t="inlineStr">
        <is>
          <t>Organic</t>
        </is>
      </c>
      <c r="G32" s="12" t="inlineStr">
        <is>
          <t>Basic</t>
        </is>
      </c>
      <c r="H32" s="12" t="n">
        <v>1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/>
      <c r="P32" s="12" t="n">
        <v>80.3</v>
      </c>
    </row>
    <row r="33">
      <c r="A33" s="12" t="inlineStr">
        <is>
          <t>USR-100032</t>
        </is>
      </c>
      <c r="B33" s="29" t="n">
        <v>45701</v>
      </c>
      <c r="C33" s="12" t="inlineStr">
        <is>
          <t>Control</t>
        </is>
      </c>
      <c r="D33" s="12" t="inlineStr">
        <is>
          <t>East</t>
        </is>
      </c>
      <c r="E33" s="12" t="inlineStr">
        <is>
          <t>Mobile</t>
        </is>
      </c>
      <c r="F33" s="12" t="inlineStr">
        <is>
          <t>Organic</t>
        </is>
      </c>
      <c r="G33" s="12" t="inlineStr">
        <is>
          <t>Free</t>
        </is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/>
      <c r="P33" s="12" t="n">
        <v>67.59999999999999</v>
      </c>
    </row>
    <row r="34">
      <c r="A34" s="12" t="inlineStr">
        <is>
          <t>USR-100033</t>
        </is>
      </c>
      <c r="B34" s="29" t="n">
        <v>45724</v>
      </c>
      <c r="C34" s="12" t="inlineStr">
        <is>
          <t>Control</t>
        </is>
      </c>
      <c r="D34" s="12" t="inlineStr">
        <is>
          <t>East</t>
        </is>
      </c>
      <c r="E34" s="12" t="inlineStr">
        <is>
          <t>Desktop</t>
        </is>
      </c>
      <c r="F34" s="12" t="inlineStr">
        <is>
          <t>Referral</t>
        </is>
      </c>
      <c r="G34" s="12" t="inlineStr">
        <is>
          <t>Premium</t>
        </is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/>
      <c r="P34" s="12" t="n">
        <v>64</v>
      </c>
    </row>
    <row r="35">
      <c r="A35" s="12" t="inlineStr">
        <is>
          <t>USR-100034</t>
        </is>
      </c>
      <c r="B35" s="29" t="n">
        <v>45668</v>
      </c>
      <c r="C35" s="12" t="inlineStr">
        <is>
          <t>Control</t>
        </is>
      </c>
      <c r="D35" s="12" t="inlineStr">
        <is>
          <t>North</t>
        </is>
      </c>
      <c r="E35" s="12" t="inlineStr">
        <is>
          <t>Mobile</t>
        </is>
      </c>
      <c r="F35" s="12" t="inlineStr">
        <is>
          <t>Paid Search</t>
        </is>
      </c>
      <c r="G35" s="12" t="inlineStr">
        <is>
          <t>Free</t>
        </is>
      </c>
      <c r="H35" s="12" t="n">
        <v>1</v>
      </c>
      <c r="I35" s="12" t="n">
        <v>1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/>
      <c r="P35" s="12" t="n">
        <v>27.2</v>
      </c>
    </row>
    <row r="36">
      <c r="A36" s="12" t="inlineStr">
        <is>
          <t>USR-100035</t>
        </is>
      </c>
      <c r="B36" s="29" t="n">
        <v>45700</v>
      </c>
      <c r="C36" s="12" t="inlineStr">
        <is>
          <t>Control</t>
        </is>
      </c>
      <c r="D36" s="12" t="inlineStr">
        <is>
          <t>North</t>
        </is>
      </c>
      <c r="E36" s="12" t="inlineStr">
        <is>
          <t>Desktop</t>
        </is>
      </c>
      <c r="F36" s="12" t="inlineStr">
        <is>
          <t>Organic</t>
        </is>
      </c>
      <c r="G36" s="12" t="inlineStr">
        <is>
          <t>Free</t>
        </is>
      </c>
      <c r="H36" s="12" t="n">
        <v>1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/>
      <c r="P36" s="12" t="n">
        <v>85.40000000000001</v>
      </c>
    </row>
    <row r="37">
      <c r="A37" s="12" t="inlineStr">
        <is>
          <t>USR-100036</t>
        </is>
      </c>
      <c r="B37" s="29" t="n">
        <v>45760</v>
      </c>
      <c r="C37" s="12" t="inlineStr">
        <is>
          <t>Control</t>
        </is>
      </c>
      <c r="D37" s="12" t="inlineStr">
        <is>
          <t>East</t>
        </is>
      </c>
      <c r="E37" s="12" t="inlineStr">
        <is>
          <t>Desktop</t>
        </is>
      </c>
      <c r="F37" s="12" t="inlineStr">
        <is>
          <t>Organic</t>
        </is>
      </c>
      <c r="G37" s="12" t="inlineStr">
        <is>
          <t>Basic</t>
        </is>
      </c>
      <c r="H37" s="12" t="n">
        <v>1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/>
      <c r="P37" s="12" t="n">
        <v>75.90000000000001</v>
      </c>
    </row>
    <row r="38">
      <c r="A38" s="12" t="inlineStr">
        <is>
          <t>USR-100037</t>
        </is>
      </c>
      <c r="B38" s="29" t="n">
        <v>45786</v>
      </c>
      <c r="C38" s="12" t="inlineStr">
        <is>
          <t>Control</t>
        </is>
      </c>
      <c r="D38" s="12" t="inlineStr">
        <is>
          <t>East</t>
        </is>
      </c>
      <c r="E38" s="12" t="inlineStr">
        <is>
          <t>Mobile</t>
        </is>
      </c>
      <c r="F38" s="12" t="inlineStr">
        <is>
          <t>Organic</t>
        </is>
      </c>
      <c r="G38" s="12" t="inlineStr">
        <is>
          <t>Premium</t>
        </is>
      </c>
      <c r="H38" s="12" t="n">
        <v>1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</v>
      </c>
      <c r="N38" s="12" t="n">
        <v>0</v>
      </c>
      <c r="O38" s="12" t="n"/>
      <c r="P38" s="12" t="n">
        <v>34.8</v>
      </c>
    </row>
    <row r="39">
      <c r="A39" s="12" t="inlineStr">
        <is>
          <t>USR-100038</t>
        </is>
      </c>
      <c r="B39" s="29" t="n">
        <v>45677</v>
      </c>
      <c r="C39" s="12" t="inlineStr">
        <is>
          <t>Control</t>
        </is>
      </c>
      <c r="D39" s="12" t="inlineStr">
        <is>
          <t>East</t>
        </is>
      </c>
      <c r="E39" s="12" t="inlineStr">
        <is>
          <t>Mobile</t>
        </is>
      </c>
      <c r="F39" s="12" t="inlineStr">
        <is>
          <t>Organic</t>
        </is>
      </c>
      <c r="G39" s="12" t="inlineStr">
        <is>
          <t>Free</t>
        </is>
      </c>
      <c r="H39" s="12" t="n">
        <v>1</v>
      </c>
      <c r="I39" s="12" t="n">
        <v>1</v>
      </c>
      <c r="J39" s="12" t="n">
        <v>1</v>
      </c>
      <c r="K39" s="12" t="n">
        <v>0</v>
      </c>
      <c r="L39" s="12" t="n">
        <v>0</v>
      </c>
      <c r="M39" s="12" t="n">
        <v>3</v>
      </c>
      <c r="N39" s="12" t="n">
        <v>0</v>
      </c>
      <c r="O39" s="12" t="n"/>
      <c r="P39" s="12" t="n">
        <v>48.9</v>
      </c>
    </row>
    <row r="40">
      <c r="A40" s="12" t="inlineStr">
        <is>
          <t>USR-100039</t>
        </is>
      </c>
      <c r="B40" s="29" t="n">
        <v>45790</v>
      </c>
      <c r="C40" s="12" t="inlineStr">
        <is>
          <t>Control</t>
        </is>
      </c>
      <c r="D40" s="12" t="inlineStr">
        <is>
          <t>East</t>
        </is>
      </c>
      <c r="E40" s="12" t="inlineStr">
        <is>
          <t>Mobile</t>
        </is>
      </c>
      <c r="F40" s="12" t="inlineStr">
        <is>
          <t>Email</t>
        </is>
      </c>
      <c r="G40" s="12" t="inlineStr">
        <is>
          <t>Premium</t>
        </is>
      </c>
      <c r="H40" s="12" t="n">
        <v>1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/>
      <c r="P40" s="12" t="n">
        <v>41.5</v>
      </c>
    </row>
    <row r="41">
      <c r="A41" s="12" t="inlineStr">
        <is>
          <t>USR-100040</t>
        </is>
      </c>
      <c r="B41" s="29" t="n">
        <v>45754</v>
      </c>
      <c r="C41" s="12" t="inlineStr">
        <is>
          <t>Control</t>
        </is>
      </c>
      <c r="D41" s="12" t="inlineStr">
        <is>
          <t>North</t>
        </is>
      </c>
      <c r="E41" s="12" t="inlineStr">
        <is>
          <t>Desktop</t>
        </is>
      </c>
      <c r="F41" s="12" t="inlineStr">
        <is>
          <t>Organic</t>
        </is>
      </c>
      <c r="G41" s="12" t="inlineStr">
        <is>
          <t>Basic</t>
        </is>
      </c>
      <c r="H41" s="12" t="n">
        <v>1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/>
      <c r="P41" s="12" t="n">
        <v>51.5</v>
      </c>
    </row>
    <row r="42">
      <c r="A42" s="12" t="inlineStr">
        <is>
          <t>USR-100041</t>
        </is>
      </c>
      <c r="B42" s="29" t="n">
        <v>45747</v>
      </c>
      <c r="C42" s="12" t="inlineStr">
        <is>
          <t>Control</t>
        </is>
      </c>
      <c r="D42" s="12" t="inlineStr">
        <is>
          <t>North</t>
        </is>
      </c>
      <c r="E42" s="12" t="inlineStr">
        <is>
          <t>Desktop</t>
        </is>
      </c>
      <c r="F42" s="12" t="inlineStr">
        <is>
          <t>Organic</t>
        </is>
      </c>
      <c r="G42" s="12" t="inlineStr">
        <is>
          <t>Free</t>
        </is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/>
      <c r="P42" s="12" t="n">
        <v>53.2</v>
      </c>
    </row>
    <row r="43">
      <c r="A43" s="12" t="inlineStr">
        <is>
          <t>USR-100042</t>
        </is>
      </c>
      <c r="B43" s="29" t="n">
        <v>45682</v>
      </c>
      <c r="C43" s="12" t="inlineStr">
        <is>
          <t>Control</t>
        </is>
      </c>
      <c r="D43" s="12" t="inlineStr">
        <is>
          <t>East</t>
        </is>
      </c>
      <c r="E43" s="12" t="inlineStr">
        <is>
          <t>Mobile</t>
        </is>
      </c>
      <c r="F43" s="12" t="inlineStr">
        <is>
          <t>Email</t>
        </is>
      </c>
      <c r="G43" s="12" t="inlineStr">
        <is>
          <t>Premium</t>
        </is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/>
      <c r="P43" s="12" t="n">
        <v>55.6</v>
      </c>
    </row>
    <row r="44">
      <c r="A44" s="12" t="inlineStr">
        <is>
          <t>USR-100043</t>
        </is>
      </c>
      <c r="B44" s="29" t="n">
        <v>45702</v>
      </c>
      <c r="C44" s="12" t="inlineStr">
        <is>
          <t>Control</t>
        </is>
      </c>
      <c r="D44" s="12" t="inlineStr">
        <is>
          <t>South</t>
        </is>
      </c>
      <c r="E44" s="12" t="inlineStr">
        <is>
          <t>Desktop</t>
        </is>
      </c>
      <c r="F44" s="12" t="inlineStr">
        <is>
          <t>Organic</t>
        </is>
      </c>
      <c r="G44" s="12" t="inlineStr">
        <is>
          <t>Free</t>
        </is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/>
      <c r="P44" s="12" t="n">
        <v>73</v>
      </c>
    </row>
    <row r="45">
      <c r="A45" s="12" t="inlineStr">
        <is>
          <t>USR-100044</t>
        </is>
      </c>
      <c r="B45" s="29" t="n">
        <v>45715</v>
      </c>
      <c r="C45" s="12" t="inlineStr">
        <is>
          <t>Control</t>
        </is>
      </c>
      <c r="D45" s="12" t="inlineStr">
        <is>
          <t>East</t>
        </is>
      </c>
      <c r="E45" s="12" t="inlineStr">
        <is>
          <t>Mobile</t>
        </is>
      </c>
      <c r="F45" s="12" t="inlineStr">
        <is>
          <t>Email</t>
        </is>
      </c>
      <c r="G45" s="12" t="inlineStr">
        <is>
          <t>Free</t>
        </is>
      </c>
      <c r="H45" s="12" t="n">
        <v>1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/>
      <c r="P45" s="12" t="n">
        <v>65</v>
      </c>
    </row>
    <row r="46">
      <c r="A46" s="12" t="inlineStr">
        <is>
          <t>USR-100045</t>
        </is>
      </c>
      <c r="B46" s="29" t="n">
        <v>45744</v>
      </c>
      <c r="C46" s="12" t="inlineStr">
        <is>
          <t>Control</t>
        </is>
      </c>
      <c r="D46" s="12" t="inlineStr">
        <is>
          <t>East</t>
        </is>
      </c>
      <c r="E46" s="12" t="inlineStr">
        <is>
          <t>Mobile</t>
        </is>
      </c>
      <c r="F46" s="12" t="inlineStr">
        <is>
          <t>Social</t>
        </is>
      </c>
      <c r="G46" s="12" t="inlineStr">
        <is>
          <t>Free</t>
        </is>
      </c>
      <c r="H46" s="12" t="n">
        <v>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4</v>
      </c>
      <c r="N46" s="12" t="n">
        <v>0</v>
      </c>
      <c r="O46" s="12" t="n"/>
      <c r="P46" s="12" t="n">
        <v>56.3</v>
      </c>
    </row>
    <row r="47">
      <c r="A47" s="12" t="inlineStr">
        <is>
          <t>USR-100046</t>
        </is>
      </c>
      <c r="B47" s="29" t="n">
        <v>45802</v>
      </c>
      <c r="C47" s="12" t="inlineStr">
        <is>
          <t>Control</t>
        </is>
      </c>
      <c r="D47" s="12" t="inlineStr">
        <is>
          <t>East</t>
        </is>
      </c>
      <c r="E47" s="12" t="inlineStr">
        <is>
          <t>Mobile</t>
        </is>
      </c>
      <c r="F47" s="12" t="inlineStr">
        <is>
          <t>Referral</t>
        </is>
      </c>
      <c r="G47" s="12" t="inlineStr">
        <is>
          <t>Premium</t>
        </is>
      </c>
      <c r="H47" s="12" t="n">
        <v>1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/>
      <c r="P47" s="12" t="n">
        <v>62.4</v>
      </c>
    </row>
    <row r="48">
      <c r="A48" s="12" t="inlineStr">
        <is>
          <t>USR-100047</t>
        </is>
      </c>
      <c r="B48" s="29" t="n">
        <v>45782</v>
      </c>
      <c r="C48" s="12" t="inlineStr">
        <is>
          <t>Control</t>
        </is>
      </c>
      <c r="D48" s="12" t="inlineStr">
        <is>
          <t>West</t>
        </is>
      </c>
      <c r="E48" s="12" t="inlineStr">
        <is>
          <t>Desktop</t>
        </is>
      </c>
      <c r="F48" s="12" t="inlineStr">
        <is>
          <t>Organic</t>
        </is>
      </c>
      <c r="G48" s="12" t="inlineStr">
        <is>
          <t>Free</t>
        </is>
      </c>
      <c r="H48" s="12" t="n">
        <v>1</v>
      </c>
      <c r="I48" s="12" t="n">
        <v>1</v>
      </c>
      <c r="J48" s="12" t="n">
        <v>1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/>
      <c r="P48" s="12" t="n">
        <v>58.1</v>
      </c>
    </row>
    <row r="49">
      <c r="A49" s="12" t="inlineStr">
        <is>
          <t>USR-100048</t>
        </is>
      </c>
      <c r="B49" s="29" t="n">
        <v>45793</v>
      </c>
      <c r="C49" s="12" t="inlineStr">
        <is>
          <t>Control</t>
        </is>
      </c>
      <c r="D49" s="12" t="inlineStr">
        <is>
          <t>North</t>
        </is>
      </c>
      <c r="E49" s="12" t="inlineStr">
        <is>
          <t>Mobile</t>
        </is>
      </c>
      <c r="F49" s="12" t="inlineStr">
        <is>
          <t>Organic</t>
        </is>
      </c>
      <c r="G49" s="12" t="inlineStr">
        <is>
          <t>Free</t>
        </is>
      </c>
      <c r="H49" s="12" t="n">
        <v>1</v>
      </c>
      <c r="I49" s="12" t="n">
        <v>1</v>
      </c>
      <c r="J49" s="12" t="n">
        <v>1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/>
      <c r="P49" s="12" t="n">
        <v>80.8</v>
      </c>
    </row>
    <row r="50">
      <c r="A50" s="12" t="inlineStr">
        <is>
          <t>USR-100049</t>
        </is>
      </c>
      <c r="B50" s="29" t="n">
        <v>45665</v>
      </c>
      <c r="C50" s="12" t="inlineStr">
        <is>
          <t>Control</t>
        </is>
      </c>
      <c r="D50" s="12" t="inlineStr">
        <is>
          <t>North</t>
        </is>
      </c>
      <c r="E50" s="12" t="inlineStr">
        <is>
          <t>Mobile</t>
        </is>
      </c>
      <c r="F50" s="12" t="inlineStr">
        <is>
          <t>Social</t>
        </is>
      </c>
      <c r="G50" s="12" t="inlineStr">
        <is>
          <t>Free</t>
        </is>
      </c>
      <c r="H50" s="12" t="n">
        <v>1</v>
      </c>
      <c r="I50" s="12" t="n">
        <v>1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/>
      <c r="P50" s="12" t="n">
        <v>42.9</v>
      </c>
    </row>
    <row r="51">
      <c r="A51" s="12" t="inlineStr">
        <is>
          <t>USR-100050</t>
        </is>
      </c>
      <c r="B51" s="29" t="n">
        <v>45663</v>
      </c>
      <c r="C51" s="12" t="inlineStr">
        <is>
          <t>Control</t>
        </is>
      </c>
      <c r="D51" s="12" t="inlineStr">
        <is>
          <t>West</t>
        </is>
      </c>
      <c r="E51" s="12" t="inlineStr">
        <is>
          <t>Desktop</t>
        </is>
      </c>
      <c r="F51" s="12" t="inlineStr">
        <is>
          <t>Paid Search</t>
        </is>
      </c>
      <c r="G51" s="12" t="inlineStr">
        <is>
          <t>Free</t>
        </is>
      </c>
      <c r="H51" s="12" t="n">
        <v>1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/>
      <c r="P51" s="12" t="n">
        <v>52.7</v>
      </c>
    </row>
    <row r="52">
      <c r="A52" s="12" t="inlineStr">
        <is>
          <t>USR-100051</t>
        </is>
      </c>
      <c r="B52" s="29" t="n">
        <v>45669</v>
      </c>
      <c r="C52" s="12" t="inlineStr">
        <is>
          <t>Control</t>
        </is>
      </c>
      <c r="D52" s="12" t="inlineStr">
        <is>
          <t>North</t>
        </is>
      </c>
      <c r="E52" s="12" t="inlineStr">
        <is>
          <t>Mobile</t>
        </is>
      </c>
      <c r="F52" s="12" t="inlineStr">
        <is>
          <t>Social</t>
        </is>
      </c>
      <c r="G52" s="12" t="inlineStr">
        <is>
          <t>Basic</t>
        </is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/>
      <c r="P52" s="12" t="n">
        <v>46.9</v>
      </c>
    </row>
    <row r="53">
      <c r="A53" s="12" t="inlineStr">
        <is>
          <t>USR-100052</t>
        </is>
      </c>
      <c r="B53" s="29" t="n">
        <v>45702</v>
      </c>
      <c r="C53" s="12" t="inlineStr">
        <is>
          <t>Control</t>
        </is>
      </c>
      <c r="D53" s="12" t="inlineStr">
        <is>
          <t>East</t>
        </is>
      </c>
      <c r="E53" s="12" t="inlineStr">
        <is>
          <t>Desktop</t>
        </is>
      </c>
      <c r="F53" s="12" t="inlineStr">
        <is>
          <t>Email</t>
        </is>
      </c>
      <c r="G53" s="12" t="inlineStr">
        <is>
          <t>Premium</t>
        </is>
      </c>
      <c r="H53" s="12" t="n">
        <v>1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/>
      <c r="P53" s="12" t="n">
        <v>63</v>
      </c>
    </row>
    <row r="54">
      <c r="A54" s="12" t="inlineStr">
        <is>
          <t>USR-100053</t>
        </is>
      </c>
      <c r="B54" s="29" t="n">
        <v>45726</v>
      </c>
      <c r="C54" s="12" t="inlineStr">
        <is>
          <t>Control</t>
        </is>
      </c>
      <c r="D54" s="12" t="inlineStr">
        <is>
          <t>South</t>
        </is>
      </c>
      <c r="E54" s="12" t="inlineStr">
        <is>
          <t>Tablet</t>
        </is>
      </c>
      <c r="F54" s="12" t="inlineStr">
        <is>
          <t>Organic</t>
        </is>
      </c>
      <c r="G54" s="12" t="inlineStr">
        <is>
          <t>Free</t>
        </is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/>
      <c r="P54" s="12" t="n">
        <v>53.6</v>
      </c>
    </row>
    <row r="55">
      <c r="A55" s="12" t="inlineStr">
        <is>
          <t>USR-100054</t>
        </is>
      </c>
      <c r="B55" s="29" t="n">
        <v>45767</v>
      </c>
      <c r="C55" s="12" t="inlineStr">
        <is>
          <t>Control</t>
        </is>
      </c>
      <c r="D55" s="12" t="inlineStr">
        <is>
          <t>West</t>
        </is>
      </c>
      <c r="E55" s="12" t="inlineStr">
        <is>
          <t>Desktop</t>
        </is>
      </c>
      <c r="F55" s="12" t="inlineStr">
        <is>
          <t>Organic</t>
        </is>
      </c>
      <c r="G55" s="12" t="inlineStr">
        <is>
          <t>Basic</t>
        </is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/>
      <c r="P55" s="12" t="n">
        <v>49.6</v>
      </c>
    </row>
    <row r="56">
      <c r="A56" s="12" t="inlineStr">
        <is>
          <t>USR-100055</t>
        </is>
      </c>
      <c r="B56" s="29" t="n">
        <v>45707</v>
      </c>
      <c r="C56" s="12" t="inlineStr">
        <is>
          <t>Control</t>
        </is>
      </c>
      <c r="D56" s="12" t="inlineStr">
        <is>
          <t>South</t>
        </is>
      </c>
      <c r="E56" s="12" t="inlineStr">
        <is>
          <t>Mobile</t>
        </is>
      </c>
      <c r="F56" s="12" t="inlineStr">
        <is>
          <t>Organic</t>
        </is>
      </c>
      <c r="G56" s="12" t="inlineStr">
        <is>
          <t>Free</t>
        </is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/>
      <c r="P56" s="12" t="n">
        <v>54</v>
      </c>
    </row>
    <row r="57">
      <c r="A57" s="12" t="inlineStr">
        <is>
          <t>USR-100056</t>
        </is>
      </c>
      <c r="B57" s="29" t="n">
        <v>45794</v>
      </c>
      <c r="C57" s="12" t="inlineStr">
        <is>
          <t>Control</t>
        </is>
      </c>
      <c r="D57" s="12" t="inlineStr">
        <is>
          <t>South</t>
        </is>
      </c>
      <c r="E57" s="12" t="inlineStr">
        <is>
          <t>Mobile</t>
        </is>
      </c>
      <c r="F57" s="12" t="inlineStr">
        <is>
          <t>Social</t>
        </is>
      </c>
      <c r="G57" s="12" t="inlineStr">
        <is>
          <t>Basic</t>
        </is>
      </c>
      <c r="H57" s="12" t="n">
        <v>1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2</v>
      </c>
      <c r="N57" s="12" t="n">
        <v>0</v>
      </c>
      <c r="O57" s="12" t="n"/>
      <c r="P57" s="12" t="n">
        <v>50</v>
      </c>
    </row>
    <row r="58">
      <c r="A58" s="12" t="inlineStr">
        <is>
          <t>USR-100057</t>
        </is>
      </c>
      <c r="B58" s="29" t="n">
        <v>45748</v>
      </c>
      <c r="C58" s="12" t="inlineStr">
        <is>
          <t>Control</t>
        </is>
      </c>
      <c r="D58" s="12" t="inlineStr">
        <is>
          <t>East</t>
        </is>
      </c>
      <c r="E58" s="12" t="inlineStr">
        <is>
          <t>Mobile</t>
        </is>
      </c>
      <c r="F58" s="12" t="inlineStr">
        <is>
          <t>Social</t>
        </is>
      </c>
      <c r="G58" s="12" t="inlineStr">
        <is>
          <t>Basic</t>
        </is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/>
      <c r="P58" s="12" t="n">
        <v>48.1</v>
      </c>
    </row>
    <row r="59">
      <c r="A59" s="12" t="inlineStr">
        <is>
          <t>USR-100058</t>
        </is>
      </c>
      <c r="B59" s="29" t="n">
        <v>45692</v>
      </c>
      <c r="C59" s="12" t="inlineStr">
        <is>
          <t>Control</t>
        </is>
      </c>
      <c r="D59" s="12" t="inlineStr">
        <is>
          <t>North</t>
        </is>
      </c>
      <c r="E59" s="12" t="inlineStr">
        <is>
          <t>Desktop</t>
        </is>
      </c>
      <c r="F59" s="12" t="inlineStr">
        <is>
          <t>Organic</t>
        </is>
      </c>
      <c r="G59" s="12" t="inlineStr">
        <is>
          <t>Free</t>
        </is>
      </c>
      <c r="H59" s="12" t="n">
        <v>1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/>
      <c r="P59" s="12" t="n">
        <v>49.6</v>
      </c>
    </row>
    <row r="60">
      <c r="A60" s="12" t="inlineStr">
        <is>
          <t>USR-100059</t>
        </is>
      </c>
      <c r="B60" s="29" t="n">
        <v>45761</v>
      </c>
      <c r="C60" s="12" t="inlineStr">
        <is>
          <t>Control</t>
        </is>
      </c>
      <c r="D60" s="12" t="inlineStr">
        <is>
          <t>North</t>
        </is>
      </c>
      <c r="E60" s="12" t="inlineStr">
        <is>
          <t>Mobile</t>
        </is>
      </c>
      <c r="F60" s="12" t="inlineStr">
        <is>
          <t>Social</t>
        </is>
      </c>
      <c r="G60" s="12" t="inlineStr">
        <is>
          <t>Free</t>
        </is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2</v>
      </c>
      <c r="N60" s="12" t="n">
        <v>0</v>
      </c>
      <c r="O60" s="12" t="n"/>
      <c r="P60" s="12" t="n">
        <v>48.9</v>
      </c>
    </row>
    <row r="61">
      <c r="A61" s="12" t="inlineStr">
        <is>
          <t>USR-100060</t>
        </is>
      </c>
      <c r="B61" s="29" t="n">
        <v>45658</v>
      </c>
      <c r="C61" s="12" t="inlineStr">
        <is>
          <t>Control</t>
        </is>
      </c>
      <c r="D61" s="12" t="inlineStr">
        <is>
          <t>West</t>
        </is>
      </c>
      <c r="E61" s="12" t="inlineStr">
        <is>
          <t>Mobile</t>
        </is>
      </c>
      <c r="F61" s="12" t="inlineStr">
        <is>
          <t>Social</t>
        </is>
      </c>
      <c r="G61" s="12" t="inlineStr">
        <is>
          <t>Free</t>
        </is>
      </c>
      <c r="H61" s="12" t="n">
        <v>1</v>
      </c>
      <c r="I61" s="12" t="n">
        <v>1</v>
      </c>
      <c r="J61" s="12" t="n">
        <v>1</v>
      </c>
      <c r="K61" s="12" t="n">
        <v>1</v>
      </c>
      <c r="L61" s="12" t="n">
        <v>240.42</v>
      </c>
      <c r="M61" s="12" t="n">
        <v>0</v>
      </c>
      <c r="N61" s="12" t="n">
        <v>0</v>
      </c>
      <c r="O61" s="12" t="n">
        <v>16</v>
      </c>
      <c r="P61" s="12" t="n">
        <v>56.5</v>
      </c>
    </row>
    <row r="62">
      <c r="A62" s="12" t="inlineStr">
        <is>
          <t>USR-100061</t>
        </is>
      </c>
      <c r="B62" s="29" t="n">
        <v>45749</v>
      </c>
      <c r="C62" s="12" t="inlineStr">
        <is>
          <t>Control</t>
        </is>
      </c>
      <c r="D62" s="12" t="inlineStr">
        <is>
          <t>South</t>
        </is>
      </c>
      <c r="E62" s="12" t="inlineStr">
        <is>
          <t>Mobile</t>
        </is>
      </c>
      <c r="F62" s="12" t="inlineStr">
        <is>
          <t>Referral</t>
        </is>
      </c>
      <c r="G62" s="12" t="inlineStr">
        <is>
          <t>Free</t>
        </is>
      </c>
      <c r="H62" s="12" t="n">
        <v>1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/>
      <c r="P62" s="12" t="n">
        <v>53.7</v>
      </c>
    </row>
    <row r="63">
      <c r="A63" s="12" t="inlineStr">
        <is>
          <t>USR-100062</t>
        </is>
      </c>
      <c r="B63" s="29" t="n">
        <v>45745</v>
      </c>
      <c r="C63" s="12" t="inlineStr">
        <is>
          <t>Control</t>
        </is>
      </c>
      <c r="D63" s="12" t="inlineStr">
        <is>
          <t>North</t>
        </is>
      </c>
      <c r="E63" s="12" t="inlineStr">
        <is>
          <t>Mobile</t>
        </is>
      </c>
      <c r="F63" s="12" t="inlineStr">
        <is>
          <t>Social</t>
        </is>
      </c>
      <c r="G63" s="12" t="inlineStr">
        <is>
          <t>Premium</t>
        </is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/>
      <c r="P63" s="12" t="n">
        <v>62.2</v>
      </c>
    </row>
    <row r="64">
      <c r="A64" s="12" t="inlineStr">
        <is>
          <t>USR-100063</t>
        </is>
      </c>
      <c r="B64" s="29" t="n">
        <v>45792</v>
      </c>
      <c r="C64" s="12" t="inlineStr">
        <is>
          <t>Control</t>
        </is>
      </c>
      <c r="D64" s="12" t="inlineStr">
        <is>
          <t>South</t>
        </is>
      </c>
      <c r="E64" s="12" t="inlineStr">
        <is>
          <t>Desktop</t>
        </is>
      </c>
      <c r="F64" s="12" t="inlineStr">
        <is>
          <t>Organic</t>
        </is>
      </c>
      <c r="G64" s="12" t="inlineStr">
        <is>
          <t>Free</t>
        </is>
      </c>
      <c r="H64" s="12" t="n">
        <v>1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/>
      <c r="P64" s="12" t="n">
        <v>50.2</v>
      </c>
    </row>
    <row r="65">
      <c r="A65" s="12" t="inlineStr">
        <is>
          <t>USR-100064</t>
        </is>
      </c>
      <c r="B65" s="29" t="n">
        <v>45758</v>
      </c>
      <c r="C65" s="12" t="inlineStr">
        <is>
          <t>Control</t>
        </is>
      </c>
      <c r="D65" s="12" t="inlineStr">
        <is>
          <t>North</t>
        </is>
      </c>
      <c r="E65" s="12" t="inlineStr">
        <is>
          <t>Mobile</t>
        </is>
      </c>
      <c r="F65" s="12" t="inlineStr">
        <is>
          <t>Organic</t>
        </is>
      </c>
      <c r="G65" s="12" t="inlineStr">
        <is>
          <t>Basic</t>
        </is>
      </c>
      <c r="H65" s="12" t="n">
        <v>1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/>
      <c r="P65" s="12" t="n">
        <v>74.3</v>
      </c>
    </row>
    <row r="66">
      <c r="A66" s="12" t="inlineStr">
        <is>
          <t>USR-100065</t>
        </is>
      </c>
      <c r="B66" s="29" t="n">
        <v>45723</v>
      </c>
      <c r="C66" s="12" t="inlineStr">
        <is>
          <t>Control</t>
        </is>
      </c>
      <c r="D66" s="12" t="inlineStr">
        <is>
          <t>South</t>
        </is>
      </c>
      <c r="E66" s="12" t="inlineStr">
        <is>
          <t>Desktop</t>
        </is>
      </c>
      <c r="F66" s="12" t="inlineStr">
        <is>
          <t>Paid Search</t>
        </is>
      </c>
      <c r="G66" s="12" t="inlineStr">
        <is>
          <t>Free</t>
        </is>
      </c>
      <c r="H66" s="12" t="n">
        <v>1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/>
      <c r="P66" s="12" t="n">
        <v>58</v>
      </c>
    </row>
    <row r="67">
      <c r="A67" s="12" t="inlineStr">
        <is>
          <t>USR-100066</t>
        </is>
      </c>
      <c r="B67" s="29" t="n">
        <v>45807</v>
      </c>
      <c r="C67" s="12" t="inlineStr">
        <is>
          <t>Control</t>
        </is>
      </c>
      <c r="D67" s="12" t="inlineStr">
        <is>
          <t>South</t>
        </is>
      </c>
      <c r="E67" s="12" t="inlineStr">
        <is>
          <t>Mobile</t>
        </is>
      </c>
      <c r="F67" s="12" t="inlineStr">
        <is>
          <t>Organic</t>
        </is>
      </c>
      <c r="G67" s="12" t="inlineStr">
        <is>
          <t>Free</t>
        </is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/>
      <c r="P67" s="12" t="n">
        <v>46.7</v>
      </c>
    </row>
    <row r="68">
      <c r="A68" s="12" t="inlineStr">
        <is>
          <t>USR-100067</t>
        </is>
      </c>
      <c r="B68" s="29" t="n">
        <v>45664</v>
      </c>
      <c r="C68" s="12" t="inlineStr">
        <is>
          <t>Control</t>
        </is>
      </c>
      <c r="D68" s="12" t="inlineStr">
        <is>
          <t>South</t>
        </is>
      </c>
      <c r="E68" s="12" t="inlineStr">
        <is>
          <t>Desktop</t>
        </is>
      </c>
      <c r="F68" s="12" t="inlineStr">
        <is>
          <t>Organic</t>
        </is>
      </c>
      <c r="G68" s="12" t="inlineStr">
        <is>
          <t>Premium</t>
        </is>
      </c>
      <c r="H68" s="12" t="n">
        <v>1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1</v>
      </c>
      <c r="N68" s="12" t="n">
        <v>0</v>
      </c>
      <c r="O68" s="12" t="n"/>
      <c r="P68" s="12" t="n">
        <v>49.6</v>
      </c>
    </row>
    <row r="69">
      <c r="A69" s="12" t="inlineStr">
        <is>
          <t>USR-100068</t>
        </is>
      </c>
      <c r="B69" s="29" t="n">
        <v>45785</v>
      </c>
      <c r="C69" s="12" t="inlineStr">
        <is>
          <t>Control</t>
        </is>
      </c>
      <c r="D69" s="12" t="inlineStr">
        <is>
          <t>West</t>
        </is>
      </c>
      <c r="E69" s="12" t="inlineStr">
        <is>
          <t>Mobile</t>
        </is>
      </c>
      <c r="F69" s="12" t="inlineStr">
        <is>
          <t>Social</t>
        </is>
      </c>
      <c r="G69" s="12" t="inlineStr">
        <is>
          <t>Free</t>
        </is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/>
      <c r="P69" s="12" t="n">
        <v>60.4</v>
      </c>
    </row>
    <row r="70">
      <c r="A70" s="12" t="inlineStr">
        <is>
          <t>USR-100069</t>
        </is>
      </c>
      <c r="B70" s="29" t="n">
        <v>45735</v>
      </c>
      <c r="C70" s="12" t="inlineStr">
        <is>
          <t>Control</t>
        </is>
      </c>
      <c r="D70" s="12" t="inlineStr">
        <is>
          <t>East</t>
        </is>
      </c>
      <c r="E70" s="12" t="inlineStr">
        <is>
          <t>Desktop</t>
        </is>
      </c>
      <c r="F70" s="12" t="inlineStr">
        <is>
          <t>Email</t>
        </is>
      </c>
      <c r="G70" s="12" t="inlineStr">
        <is>
          <t>Free</t>
        </is>
      </c>
      <c r="H70" s="12" t="n">
        <v>1</v>
      </c>
      <c r="I70" s="12" t="n">
        <v>1</v>
      </c>
      <c r="J70" s="12" t="n">
        <v>1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/>
      <c r="P70" s="12" t="n">
        <v>55.3</v>
      </c>
    </row>
    <row r="71">
      <c r="A71" s="12" t="inlineStr">
        <is>
          <t>USR-100070</t>
        </is>
      </c>
      <c r="B71" s="29" t="n">
        <v>45793</v>
      </c>
      <c r="C71" s="12" t="inlineStr">
        <is>
          <t>Control</t>
        </is>
      </c>
      <c r="D71" s="12" t="inlineStr">
        <is>
          <t>North</t>
        </is>
      </c>
      <c r="E71" s="12" t="inlineStr">
        <is>
          <t>Desktop</t>
        </is>
      </c>
      <c r="F71" s="12" t="inlineStr">
        <is>
          <t>Organic</t>
        </is>
      </c>
      <c r="G71" s="12" t="inlineStr">
        <is>
          <t>Free</t>
        </is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/>
      <c r="P71" s="12" t="n">
        <v>56.2</v>
      </c>
    </row>
    <row r="72">
      <c r="A72" s="12" t="inlineStr">
        <is>
          <t>USR-100071</t>
        </is>
      </c>
      <c r="B72" s="29" t="n">
        <v>45724</v>
      </c>
      <c r="C72" s="12" t="inlineStr">
        <is>
          <t>Control</t>
        </is>
      </c>
      <c r="D72" s="12" t="inlineStr">
        <is>
          <t>West</t>
        </is>
      </c>
      <c r="E72" s="12" t="inlineStr">
        <is>
          <t>Mobile</t>
        </is>
      </c>
      <c r="F72" s="12" t="inlineStr">
        <is>
          <t>Email</t>
        </is>
      </c>
      <c r="G72" s="12" t="inlineStr">
        <is>
          <t>Free</t>
        </is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/>
      <c r="P72" s="12" t="n">
        <v>29.4</v>
      </c>
    </row>
    <row r="73">
      <c r="A73" s="12" t="inlineStr">
        <is>
          <t>USR-100072</t>
        </is>
      </c>
      <c r="B73" s="29" t="n">
        <v>45724</v>
      </c>
      <c r="C73" s="12" t="inlineStr">
        <is>
          <t>Control</t>
        </is>
      </c>
      <c r="D73" s="12" t="inlineStr">
        <is>
          <t>East</t>
        </is>
      </c>
      <c r="E73" s="12" t="inlineStr">
        <is>
          <t>Mobile</t>
        </is>
      </c>
      <c r="F73" s="12" t="inlineStr">
        <is>
          <t>Email</t>
        </is>
      </c>
      <c r="G73" s="12" t="inlineStr">
        <is>
          <t>Free</t>
        </is>
      </c>
      <c r="H73" s="12" t="n">
        <v>1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/>
      <c r="P73" s="12" t="n">
        <v>54.2</v>
      </c>
    </row>
    <row r="74">
      <c r="A74" s="12" t="inlineStr">
        <is>
          <t>USR-100073</t>
        </is>
      </c>
      <c r="B74" s="29" t="n">
        <v>45671</v>
      </c>
      <c r="C74" s="12" t="inlineStr">
        <is>
          <t>Control</t>
        </is>
      </c>
      <c r="D74" s="12" t="inlineStr">
        <is>
          <t>East</t>
        </is>
      </c>
      <c r="E74" s="12" t="inlineStr">
        <is>
          <t>Desktop</t>
        </is>
      </c>
      <c r="F74" s="12" t="inlineStr">
        <is>
          <t>Paid Search</t>
        </is>
      </c>
      <c r="G74" s="12" t="inlineStr">
        <is>
          <t>Basic</t>
        </is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/>
      <c r="P74" s="12" t="n">
        <v>46.4</v>
      </c>
    </row>
    <row r="75">
      <c r="A75" s="12" t="inlineStr">
        <is>
          <t>USR-100074</t>
        </is>
      </c>
      <c r="B75" s="29" t="n">
        <v>45698</v>
      </c>
      <c r="C75" s="12" t="inlineStr">
        <is>
          <t>Control</t>
        </is>
      </c>
      <c r="D75" s="12" t="inlineStr">
        <is>
          <t>South</t>
        </is>
      </c>
      <c r="E75" s="12" t="inlineStr">
        <is>
          <t>Mobile</t>
        </is>
      </c>
      <c r="F75" s="12" t="inlineStr">
        <is>
          <t>Paid Search</t>
        </is>
      </c>
      <c r="G75" s="12" t="inlineStr">
        <is>
          <t>Basic</t>
        </is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/>
      <c r="P75" s="12" t="n">
        <v>54.5</v>
      </c>
    </row>
    <row r="76">
      <c r="A76" s="12" t="inlineStr">
        <is>
          <t>USR-100075</t>
        </is>
      </c>
      <c r="B76" s="29" t="n">
        <v>45733</v>
      </c>
      <c r="C76" s="12" t="inlineStr">
        <is>
          <t>Control</t>
        </is>
      </c>
      <c r="D76" s="12" t="inlineStr">
        <is>
          <t>North</t>
        </is>
      </c>
      <c r="E76" s="12" t="inlineStr">
        <is>
          <t>Mobile</t>
        </is>
      </c>
      <c r="F76" s="12" t="inlineStr">
        <is>
          <t>Organic</t>
        </is>
      </c>
      <c r="G76" s="12" t="inlineStr">
        <is>
          <t>Free</t>
        </is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/>
      <c r="P76" s="12" t="n">
        <v>58.5</v>
      </c>
    </row>
    <row r="77">
      <c r="A77" s="12" t="inlineStr">
        <is>
          <t>USR-100076</t>
        </is>
      </c>
      <c r="B77" s="29" t="n">
        <v>45666</v>
      </c>
      <c r="C77" s="12" t="inlineStr">
        <is>
          <t>Control</t>
        </is>
      </c>
      <c r="D77" s="12" t="inlineStr">
        <is>
          <t>South</t>
        </is>
      </c>
      <c r="E77" s="12" t="inlineStr">
        <is>
          <t>Mobile</t>
        </is>
      </c>
      <c r="F77" s="12" t="inlineStr">
        <is>
          <t>Email</t>
        </is>
      </c>
      <c r="G77" s="12" t="inlineStr">
        <is>
          <t>Free</t>
        </is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/>
      <c r="P77" s="12" t="n">
        <v>75.90000000000001</v>
      </c>
    </row>
    <row r="78">
      <c r="A78" s="12" t="inlineStr">
        <is>
          <t>USR-100077</t>
        </is>
      </c>
      <c r="B78" s="29" t="n">
        <v>45764</v>
      </c>
      <c r="C78" s="12" t="inlineStr">
        <is>
          <t>Control</t>
        </is>
      </c>
      <c r="D78" s="12" t="inlineStr">
        <is>
          <t>North</t>
        </is>
      </c>
      <c r="E78" s="12" t="inlineStr">
        <is>
          <t>Mobile</t>
        </is>
      </c>
      <c r="F78" s="12" t="inlineStr">
        <is>
          <t>Referral</t>
        </is>
      </c>
      <c r="G78" s="12" t="inlineStr">
        <is>
          <t>Free</t>
        </is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1</v>
      </c>
      <c r="N78" s="12" t="n">
        <v>0</v>
      </c>
      <c r="O78" s="12" t="n"/>
      <c r="P78" s="12" t="n">
        <v>84.90000000000001</v>
      </c>
    </row>
    <row r="79">
      <c r="A79" s="12" t="inlineStr">
        <is>
          <t>USR-100078</t>
        </is>
      </c>
      <c r="B79" s="29" t="n">
        <v>45673</v>
      </c>
      <c r="C79" s="12" t="inlineStr">
        <is>
          <t>Control</t>
        </is>
      </c>
      <c r="D79" s="12" t="inlineStr">
        <is>
          <t>North</t>
        </is>
      </c>
      <c r="E79" s="12" t="inlineStr">
        <is>
          <t>Mobile</t>
        </is>
      </c>
      <c r="F79" s="12" t="inlineStr">
        <is>
          <t>Organic</t>
        </is>
      </c>
      <c r="G79" s="12" t="inlineStr">
        <is>
          <t>Free</t>
        </is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2</v>
      </c>
      <c r="N79" s="12" t="n">
        <v>0</v>
      </c>
      <c r="O79" s="12" t="n"/>
      <c r="P79" s="12" t="n">
        <v>48.4</v>
      </c>
    </row>
    <row r="80">
      <c r="A80" s="12" t="inlineStr">
        <is>
          <t>USR-100079</t>
        </is>
      </c>
      <c r="B80" s="29" t="n">
        <v>45708</v>
      </c>
      <c r="C80" s="12" t="inlineStr">
        <is>
          <t>Control</t>
        </is>
      </c>
      <c r="D80" s="12" t="inlineStr">
        <is>
          <t>West</t>
        </is>
      </c>
      <c r="E80" s="12" t="inlineStr">
        <is>
          <t>Desktop</t>
        </is>
      </c>
      <c r="F80" s="12" t="inlineStr">
        <is>
          <t>Organic</t>
        </is>
      </c>
      <c r="G80" s="12" t="inlineStr">
        <is>
          <t>Free</t>
        </is>
      </c>
      <c r="H80" s="12" t="n">
        <v>1</v>
      </c>
      <c r="I80" s="12" t="n">
        <v>1</v>
      </c>
      <c r="J80" s="12" t="n">
        <v>1</v>
      </c>
      <c r="K80" s="12" t="n">
        <v>1</v>
      </c>
      <c r="L80" s="12" t="n">
        <v>457.51</v>
      </c>
      <c r="M80" s="12" t="n">
        <v>0</v>
      </c>
      <c r="N80" s="12" t="n">
        <v>0</v>
      </c>
      <c r="O80" s="12" t="n">
        <v>7</v>
      </c>
      <c r="P80" s="12" t="n">
        <v>38</v>
      </c>
    </row>
    <row r="81">
      <c r="A81" s="12" t="inlineStr">
        <is>
          <t>USR-100080</t>
        </is>
      </c>
      <c r="B81" s="29" t="n">
        <v>45798</v>
      </c>
      <c r="C81" s="12" t="inlineStr">
        <is>
          <t>Control</t>
        </is>
      </c>
      <c r="D81" s="12" t="inlineStr">
        <is>
          <t>East</t>
        </is>
      </c>
      <c r="E81" s="12" t="inlineStr">
        <is>
          <t>Mobile</t>
        </is>
      </c>
      <c r="F81" s="12" t="inlineStr">
        <is>
          <t>Social</t>
        </is>
      </c>
      <c r="G81" s="12" t="inlineStr">
        <is>
          <t>Free</t>
        </is>
      </c>
      <c r="H81" s="12" t="n">
        <v>1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/>
      <c r="P81" s="12" t="n">
        <v>44.2</v>
      </c>
    </row>
    <row r="82">
      <c r="A82" s="12" t="inlineStr">
        <is>
          <t>USR-100081</t>
        </is>
      </c>
      <c r="B82" s="29" t="n">
        <v>45785</v>
      </c>
      <c r="C82" s="12" t="inlineStr">
        <is>
          <t>Control</t>
        </is>
      </c>
      <c r="D82" s="12" t="inlineStr">
        <is>
          <t>South</t>
        </is>
      </c>
      <c r="E82" s="12" t="inlineStr">
        <is>
          <t>Mobile</t>
        </is>
      </c>
      <c r="F82" s="12" t="inlineStr">
        <is>
          <t>Organic</t>
        </is>
      </c>
      <c r="G82" s="12" t="inlineStr">
        <is>
          <t>Free</t>
        </is>
      </c>
      <c r="H82" s="12" t="n">
        <v>1</v>
      </c>
      <c r="I82" s="12" t="n">
        <v>1</v>
      </c>
      <c r="J82" s="12" t="n">
        <v>1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/>
      <c r="P82" s="12" t="n">
        <v>81.2</v>
      </c>
    </row>
    <row r="83">
      <c r="A83" s="12" t="inlineStr">
        <is>
          <t>USR-100082</t>
        </is>
      </c>
      <c r="B83" s="29" t="n">
        <v>45724</v>
      </c>
      <c r="C83" s="12" t="inlineStr">
        <is>
          <t>Control</t>
        </is>
      </c>
      <c r="D83" s="12" t="inlineStr">
        <is>
          <t>South</t>
        </is>
      </c>
      <c r="E83" s="12" t="inlineStr">
        <is>
          <t>Mobile</t>
        </is>
      </c>
      <c r="F83" s="12" t="inlineStr">
        <is>
          <t>Referral</t>
        </is>
      </c>
      <c r="G83" s="12" t="inlineStr">
        <is>
          <t>Free</t>
        </is>
      </c>
      <c r="H83" s="12" t="n">
        <v>1</v>
      </c>
      <c r="I83" s="12" t="n">
        <v>1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/>
      <c r="P83" s="12" t="n">
        <v>63.8</v>
      </c>
    </row>
    <row r="84">
      <c r="A84" s="12" t="inlineStr">
        <is>
          <t>USR-100083</t>
        </is>
      </c>
      <c r="B84" s="29" t="n">
        <v>45748</v>
      </c>
      <c r="C84" s="12" t="inlineStr">
        <is>
          <t>Control</t>
        </is>
      </c>
      <c r="D84" s="12" t="inlineStr">
        <is>
          <t>South</t>
        </is>
      </c>
      <c r="E84" s="12" t="inlineStr">
        <is>
          <t>Desktop</t>
        </is>
      </c>
      <c r="F84" s="12" t="inlineStr">
        <is>
          <t>Email</t>
        </is>
      </c>
      <c r="G84" s="12" t="inlineStr">
        <is>
          <t>Free</t>
        </is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/>
      <c r="P84" s="12" t="n">
        <v>64.7</v>
      </c>
    </row>
    <row r="85">
      <c r="A85" s="12" t="inlineStr">
        <is>
          <t>USR-100084</t>
        </is>
      </c>
      <c r="B85" s="29" t="n">
        <v>45719</v>
      </c>
      <c r="C85" s="12" t="inlineStr">
        <is>
          <t>Control</t>
        </is>
      </c>
      <c r="D85" s="12" t="inlineStr">
        <is>
          <t>West</t>
        </is>
      </c>
      <c r="E85" s="12" t="inlineStr">
        <is>
          <t>Mobile</t>
        </is>
      </c>
      <c r="F85" s="12" t="inlineStr">
        <is>
          <t>Social</t>
        </is>
      </c>
      <c r="G85" s="12" t="inlineStr">
        <is>
          <t>Basic</t>
        </is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/>
      <c r="P85" s="12" t="n">
        <v>60.4</v>
      </c>
    </row>
    <row r="86">
      <c r="A86" s="12" t="inlineStr">
        <is>
          <t>USR-100085</t>
        </is>
      </c>
      <c r="B86" s="29" t="n">
        <v>45763</v>
      </c>
      <c r="C86" s="12" t="inlineStr">
        <is>
          <t>Control</t>
        </is>
      </c>
      <c r="D86" s="12" t="inlineStr">
        <is>
          <t>South</t>
        </is>
      </c>
      <c r="E86" s="12" t="inlineStr">
        <is>
          <t>Mobile</t>
        </is>
      </c>
      <c r="F86" s="12" t="inlineStr">
        <is>
          <t>Paid Search</t>
        </is>
      </c>
      <c r="G86" s="12" t="inlineStr">
        <is>
          <t>Free</t>
        </is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/>
      <c r="P86" s="12" t="n">
        <v>66.59999999999999</v>
      </c>
    </row>
    <row r="87">
      <c r="A87" s="12" t="inlineStr">
        <is>
          <t>USR-100086</t>
        </is>
      </c>
      <c r="B87" s="29" t="n">
        <v>45666</v>
      </c>
      <c r="C87" s="12" t="inlineStr">
        <is>
          <t>Control</t>
        </is>
      </c>
      <c r="D87" s="12" t="inlineStr">
        <is>
          <t>North</t>
        </is>
      </c>
      <c r="E87" s="12" t="inlineStr">
        <is>
          <t>Desktop</t>
        </is>
      </c>
      <c r="F87" s="12" t="inlineStr">
        <is>
          <t>Organic</t>
        </is>
      </c>
      <c r="G87" s="12" t="inlineStr">
        <is>
          <t>Free</t>
        </is>
      </c>
      <c r="H87" s="12" t="n">
        <v>1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/>
      <c r="P87" s="12" t="n">
        <v>50.9</v>
      </c>
    </row>
    <row r="88">
      <c r="A88" s="12" t="inlineStr">
        <is>
          <t>USR-100087</t>
        </is>
      </c>
      <c r="B88" s="29" t="n">
        <v>45679</v>
      </c>
      <c r="C88" s="12" t="inlineStr">
        <is>
          <t>Control</t>
        </is>
      </c>
      <c r="D88" s="12" t="inlineStr">
        <is>
          <t>West</t>
        </is>
      </c>
      <c r="E88" s="12" t="inlineStr">
        <is>
          <t>Desktop</t>
        </is>
      </c>
      <c r="F88" s="12" t="inlineStr">
        <is>
          <t>Social</t>
        </is>
      </c>
      <c r="G88" s="12" t="inlineStr">
        <is>
          <t>Basic</t>
        </is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/>
      <c r="P88" s="12" t="n">
        <v>51</v>
      </c>
    </row>
    <row r="89">
      <c r="A89" s="12" t="inlineStr">
        <is>
          <t>USR-100088</t>
        </is>
      </c>
      <c r="B89" s="29" t="n">
        <v>45777</v>
      </c>
      <c r="C89" s="12" t="inlineStr">
        <is>
          <t>Control</t>
        </is>
      </c>
      <c r="D89" s="12" t="inlineStr">
        <is>
          <t>South</t>
        </is>
      </c>
      <c r="E89" s="12" t="inlineStr">
        <is>
          <t>Mobile</t>
        </is>
      </c>
      <c r="F89" s="12" t="inlineStr">
        <is>
          <t>Email</t>
        </is>
      </c>
      <c r="G89" s="12" t="inlineStr">
        <is>
          <t>Premium</t>
        </is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/>
      <c r="P89" s="12" t="n">
        <v>65.8</v>
      </c>
    </row>
    <row r="90">
      <c r="A90" s="12" t="inlineStr">
        <is>
          <t>USR-100089</t>
        </is>
      </c>
      <c r="B90" s="29" t="n">
        <v>45772</v>
      </c>
      <c r="C90" s="12" t="inlineStr">
        <is>
          <t>Control</t>
        </is>
      </c>
      <c r="D90" s="12" t="inlineStr">
        <is>
          <t>North</t>
        </is>
      </c>
      <c r="E90" s="12" t="inlineStr">
        <is>
          <t>Mobile</t>
        </is>
      </c>
      <c r="F90" s="12" t="inlineStr">
        <is>
          <t>Referral</t>
        </is>
      </c>
      <c r="G90" s="12" t="inlineStr">
        <is>
          <t>Basic</t>
        </is>
      </c>
      <c r="H90" s="12" t="n">
        <v>1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/>
      <c r="P90" s="12" t="n">
        <v>61.8</v>
      </c>
    </row>
    <row r="91">
      <c r="A91" s="12" t="inlineStr">
        <is>
          <t>USR-100090</t>
        </is>
      </c>
      <c r="B91" s="29" t="n">
        <v>45689</v>
      </c>
      <c r="C91" s="12" t="inlineStr">
        <is>
          <t>Control</t>
        </is>
      </c>
      <c r="D91" s="12" t="inlineStr">
        <is>
          <t>North</t>
        </is>
      </c>
      <c r="E91" s="12" t="inlineStr">
        <is>
          <t>Mobile</t>
        </is>
      </c>
      <c r="F91" s="12" t="inlineStr">
        <is>
          <t>Organic</t>
        </is>
      </c>
      <c r="G91" s="12" t="inlineStr">
        <is>
          <t>Basic</t>
        </is>
      </c>
      <c r="H91" s="12" t="n">
        <v>1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/>
      <c r="P91" s="12" t="n">
        <v>54.5</v>
      </c>
    </row>
    <row r="92">
      <c r="A92" s="12" t="inlineStr">
        <is>
          <t>USR-100091</t>
        </is>
      </c>
      <c r="B92" s="29" t="n">
        <v>45770</v>
      </c>
      <c r="C92" s="12" t="inlineStr">
        <is>
          <t>Control</t>
        </is>
      </c>
      <c r="D92" s="12" t="inlineStr">
        <is>
          <t>South</t>
        </is>
      </c>
      <c r="E92" s="12" t="inlineStr">
        <is>
          <t>Desktop</t>
        </is>
      </c>
      <c r="F92" s="12" t="inlineStr">
        <is>
          <t>Organic</t>
        </is>
      </c>
      <c r="G92" s="12" t="inlineStr">
        <is>
          <t>Free</t>
        </is>
      </c>
      <c r="H92" s="12" t="n">
        <v>1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/>
      <c r="P92" s="12" t="n">
        <v>72.2</v>
      </c>
    </row>
    <row r="93">
      <c r="A93" s="12" t="inlineStr">
        <is>
          <t>USR-100092</t>
        </is>
      </c>
      <c r="B93" s="29" t="n">
        <v>45715</v>
      </c>
      <c r="C93" s="12" t="inlineStr">
        <is>
          <t>Control</t>
        </is>
      </c>
      <c r="D93" s="12" t="inlineStr">
        <is>
          <t>South</t>
        </is>
      </c>
      <c r="E93" s="12" t="inlineStr">
        <is>
          <t>Mobile</t>
        </is>
      </c>
      <c r="F93" s="12" t="inlineStr">
        <is>
          <t>Social</t>
        </is>
      </c>
      <c r="G93" s="12" t="inlineStr">
        <is>
          <t>Free</t>
        </is>
      </c>
      <c r="H93" s="12" t="n">
        <v>1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/>
      <c r="P93" s="12" t="n">
        <v>42.3</v>
      </c>
    </row>
    <row r="94">
      <c r="A94" s="12" t="inlineStr">
        <is>
          <t>USR-100093</t>
        </is>
      </c>
      <c r="B94" s="29" t="n">
        <v>45756</v>
      </c>
      <c r="C94" s="12" t="inlineStr">
        <is>
          <t>Control</t>
        </is>
      </c>
      <c r="D94" s="12" t="inlineStr">
        <is>
          <t>East</t>
        </is>
      </c>
      <c r="E94" s="12" t="inlineStr">
        <is>
          <t>Desktop</t>
        </is>
      </c>
      <c r="F94" s="12" t="inlineStr">
        <is>
          <t>Organic</t>
        </is>
      </c>
      <c r="G94" s="12" t="inlineStr">
        <is>
          <t>Basic</t>
        </is>
      </c>
      <c r="H94" s="12" t="n">
        <v>1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/>
      <c r="P94" s="12" t="n">
        <v>76.2</v>
      </c>
    </row>
    <row r="95">
      <c r="A95" s="12" t="inlineStr">
        <is>
          <t>USR-100094</t>
        </is>
      </c>
      <c r="B95" s="29" t="n">
        <v>45790</v>
      </c>
      <c r="C95" s="12" t="inlineStr">
        <is>
          <t>Control</t>
        </is>
      </c>
      <c r="D95" s="12" t="inlineStr">
        <is>
          <t>South</t>
        </is>
      </c>
      <c r="E95" s="12" t="inlineStr">
        <is>
          <t>Tablet</t>
        </is>
      </c>
      <c r="F95" s="12" t="inlineStr">
        <is>
          <t>Organic</t>
        </is>
      </c>
      <c r="G95" s="12" t="inlineStr">
        <is>
          <t>Premium</t>
        </is>
      </c>
      <c r="H95" s="12" t="n">
        <v>1</v>
      </c>
      <c r="I95" s="12" t="n">
        <v>1</v>
      </c>
      <c r="J95" s="12" t="n">
        <v>1</v>
      </c>
      <c r="K95" s="12" t="n">
        <v>0</v>
      </c>
      <c r="L95" s="12" t="n">
        <v>0</v>
      </c>
      <c r="M95" s="12" t="n">
        <v>1</v>
      </c>
      <c r="N95" s="12" t="n">
        <v>0</v>
      </c>
      <c r="O95" s="12" t="n"/>
      <c r="P95" s="12" t="n">
        <v>37.4</v>
      </c>
    </row>
    <row r="96">
      <c r="A96" s="12" t="inlineStr">
        <is>
          <t>USR-100095</t>
        </is>
      </c>
      <c r="B96" s="29" t="n">
        <v>45760</v>
      </c>
      <c r="C96" s="12" t="inlineStr">
        <is>
          <t>Control</t>
        </is>
      </c>
      <c r="D96" s="12" t="inlineStr">
        <is>
          <t>East</t>
        </is>
      </c>
      <c r="E96" s="12" t="inlineStr">
        <is>
          <t>Mobile</t>
        </is>
      </c>
      <c r="F96" s="12" t="inlineStr">
        <is>
          <t>Organic</t>
        </is>
      </c>
      <c r="G96" s="12" t="inlineStr">
        <is>
          <t>Free</t>
        </is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/>
      <c r="P96" s="12" t="n">
        <v>84.2</v>
      </c>
    </row>
    <row r="97">
      <c r="A97" s="12" t="inlineStr">
        <is>
          <t>USR-100096</t>
        </is>
      </c>
      <c r="B97" s="29" t="n">
        <v>45693</v>
      </c>
      <c r="C97" s="12" t="inlineStr">
        <is>
          <t>Control</t>
        </is>
      </c>
      <c r="D97" s="12" t="inlineStr">
        <is>
          <t>East</t>
        </is>
      </c>
      <c r="E97" s="12" t="inlineStr">
        <is>
          <t>Mobile</t>
        </is>
      </c>
      <c r="F97" s="12" t="inlineStr">
        <is>
          <t>Social</t>
        </is>
      </c>
      <c r="G97" s="12" t="inlineStr">
        <is>
          <t>Free</t>
        </is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/>
      <c r="P97" s="12" t="n">
        <v>68</v>
      </c>
    </row>
    <row r="98">
      <c r="A98" s="12" t="inlineStr">
        <is>
          <t>USR-100097</t>
        </is>
      </c>
      <c r="B98" s="29" t="n">
        <v>45702</v>
      </c>
      <c r="C98" s="12" t="inlineStr">
        <is>
          <t>Control</t>
        </is>
      </c>
      <c r="D98" s="12" t="inlineStr">
        <is>
          <t>West</t>
        </is>
      </c>
      <c r="E98" s="12" t="inlineStr">
        <is>
          <t>Mobile</t>
        </is>
      </c>
      <c r="F98" s="12" t="inlineStr">
        <is>
          <t>Organic</t>
        </is>
      </c>
      <c r="G98" s="12" t="inlineStr">
        <is>
          <t>Basic</t>
        </is>
      </c>
      <c r="H98" s="12" t="n">
        <v>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/>
      <c r="P98" s="12" t="n">
        <v>53.5</v>
      </c>
    </row>
    <row r="99">
      <c r="A99" s="12" t="inlineStr">
        <is>
          <t>USR-100098</t>
        </is>
      </c>
      <c r="B99" s="29" t="n">
        <v>45699</v>
      </c>
      <c r="C99" s="12" t="inlineStr">
        <is>
          <t>Control</t>
        </is>
      </c>
      <c r="D99" s="12" t="inlineStr">
        <is>
          <t>North</t>
        </is>
      </c>
      <c r="E99" s="12" t="inlineStr">
        <is>
          <t>Desktop</t>
        </is>
      </c>
      <c r="F99" s="12" t="inlineStr">
        <is>
          <t>Organic</t>
        </is>
      </c>
      <c r="G99" s="12" t="inlineStr">
        <is>
          <t>Premium</t>
        </is>
      </c>
      <c r="H99" s="12" t="n">
        <v>1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/>
      <c r="P99" s="12" t="n">
        <v>63.2</v>
      </c>
    </row>
    <row r="100">
      <c r="A100" s="12" t="inlineStr">
        <is>
          <t>USR-100099</t>
        </is>
      </c>
      <c r="B100" s="29" t="n">
        <v>45699</v>
      </c>
      <c r="C100" s="12" t="inlineStr">
        <is>
          <t>Control</t>
        </is>
      </c>
      <c r="D100" s="12" t="inlineStr">
        <is>
          <t>East</t>
        </is>
      </c>
      <c r="E100" s="12" t="inlineStr">
        <is>
          <t>Desktop</t>
        </is>
      </c>
      <c r="F100" s="12" t="inlineStr">
        <is>
          <t>Social</t>
        </is>
      </c>
      <c r="G100" s="12" t="inlineStr">
        <is>
          <t>Free</t>
        </is>
      </c>
      <c r="H100" s="12" t="n">
        <v>1</v>
      </c>
      <c r="I100" s="12" t="n">
        <v>1</v>
      </c>
      <c r="J100" s="12" t="n">
        <v>1</v>
      </c>
      <c r="K100" s="12" t="n">
        <v>1</v>
      </c>
      <c r="L100" s="12" t="n">
        <v>363.32</v>
      </c>
      <c r="M100" s="12" t="n">
        <v>0</v>
      </c>
      <c r="N100" s="12" t="n">
        <v>0</v>
      </c>
      <c r="O100" s="12" t="n">
        <v>9</v>
      </c>
      <c r="P100" s="12" t="n">
        <v>55.9</v>
      </c>
    </row>
    <row r="101">
      <c r="A101" s="12" t="inlineStr">
        <is>
          <t>USR-100100</t>
        </is>
      </c>
      <c r="B101" s="29" t="n">
        <v>45803</v>
      </c>
      <c r="C101" s="12" t="inlineStr">
        <is>
          <t>Control</t>
        </is>
      </c>
      <c r="D101" s="12" t="inlineStr">
        <is>
          <t>North</t>
        </is>
      </c>
      <c r="E101" s="12" t="inlineStr">
        <is>
          <t>Mobile</t>
        </is>
      </c>
      <c r="F101" s="12" t="inlineStr">
        <is>
          <t>Organic</t>
        </is>
      </c>
      <c r="G101" s="12" t="inlineStr">
        <is>
          <t>Free</t>
        </is>
      </c>
      <c r="H101" s="12" t="n">
        <v>1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/>
      <c r="P101" s="12" t="n">
        <v>63.5</v>
      </c>
    </row>
    <row r="102">
      <c r="A102" s="12" t="inlineStr">
        <is>
          <t>USR-100101</t>
        </is>
      </c>
      <c r="B102" s="29" t="n">
        <v>45738</v>
      </c>
      <c r="C102" s="12" t="inlineStr">
        <is>
          <t>Control</t>
        </is>
      </c>
      <c r="D102" s="12" t="inlineStr">
        <is>
          <t>North</t>
        </is>
      </c>
      <c r="E102" s="12" t="inlineStr">
        <is>
          <t>Mobile</t>
        </is>
      </c>
      <c r="F102" s="12" t="inlineStr">
        <is>
          <t>Paid Search</t>
        </is>
      </c>
      <c r="G102" s="12" t="inlineStr">
        <is>
          <t>Basic</t>
        </is>
      </c>
      <c r="H102" s="12" t="n">
        <v>1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/>
      <c r="P102" s="12" t="n">
        <v>51.5</v>
      </c>
    </row>
    <row r="103">
      <c r="A103" s="12" t="inlineStr">
        <is>
          <t>USR-100102</t>
        </is>
      </c>
      <c r="B103" s="29" t="n">
        <v>45755</v>
      </c>
      <c r="C103" s="12" t="inlineStr">
        <is>
          <t>Control</t>
        </is>
      </c>
      <c r="D103" s="12" t="inlineStr">
        <is>
          <t>West</t>
        </is>
      </c>
      <c r="E103" s="12" t="inlineStr">
        <is>
          <t>Mobile</t>
        </is>
      </c>
      <c r="F103" s="12" t="inlineStr">
        <is>
          <t>Paid Search</t>
        </is>
      </c>
      <c r="G103" s="12" t="inlineStr">
        <is>
          <t>Free</t>
        </is>
      </c>
      <c r="H103" s="12" t="n">
        <v>1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/>
      <c r="P103" s="12" t="n">
        <v>74.40000000000001</v>
      </c>
    </row>
    <row r="104">
      <c r="A104" s="12" t="inlineStr">
        <is>
          <t>USR-100103</t>
        </is>
      </c>
      <c r="B104" s="29" t="n">
        <v>45761</v>
      </c>
      <c r="C104" s="12" t="inlineStr">
        <is>
          <t>Control</t>
        </is>
      </c>
      <c r="D104" s="12" t="inlineStr">
        <is>
          <t>North</t>
        </is>
      </c>
      <c r="E104" s="12" t="inlineStr">
        <is>
          <t>Desktop</t>
        </is>
      </c>
      <c r="F104" s="12" t="inlineStr">
        <is>
          <t>Social</t>
        </is>
      </c>
      <c r="G104" s="12" t="inlineStr">
        <is>
          <t>Free</t>
        </is>
      </c>
      <c r="H104" s="12" t="n">
        <v>1</v>
      </c>
      <c r="I104" s="12" t="n">
        <v>1</v>
      </c>
      <c r="J104" s="12" t="n">
        <v>1</v>
      </c>
      <c r="K104" s="12" t="n">
        <v>1</v>
      </c>
      <c r="L104" s="12" t="n">
        <v>3887.98</v>
      </c>
      <c r="M104" s="12" t="n">
        <v>0</v>
      </c>
      <c r="N104" s="12" t="n">
        <v>0</v>
      </c>
      <c r="O104" s="12" t="n">
        <v>13</v>
      </c>
      <c r="P104" s="12" t="n">
        <v>60.2</v>
      </c>
    </row>
    <row r="105">
      <c r="A105" s="12" t="inlineStr">
        <is>
          <t>USR-100104</t>
        </is>
      </c>
      <c r="B105" s="29" t="n">
        <v>45743</v>
      </c>
      <c r="C105" s="12" t="inlineStr">
        <is>
          <t>Control</t>
        </is>
      </c>
      <c r="D105" s="12" t="inlineStr">
        <is>
          <t>South</t>
        </is>
      </c>
      <c r="E105" s="12" t="inlineStr">
        <is>
          <t>Mobile</t>
        </is>
      </c>
      <c r="F105" s="12" t="inlineStr">
        <is>
          <t>Email</t>
        </is>
      </c>
      <c r="G105" s="12" t="inlineStr">
        <is>
          <t>Free</t>
        </is>
      </c>
      <c r="H105" s="12" t="n">
        <v>1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1</v>
      </c>
      <c r="N105" s="12" t="n">
        <v>0</v>
      </c>
      <c r="O105" s="12" t="n"/>
      <c r="P105" s="12" t="n">
        <v>67.2</v>
      </c>
    </row>
    <row r="106">
      <c r="A106" s="12" t="inlineStr">
        <is>
          <t>USR-100105</t>
        </is>
      </c>
      <c r="B106" s="29" t="n">
        <v>45662</v>
      </c>
      <c r="C106" s="12" t="inlineStr">
        <is>
          <t>Control</t>
        </is>
      </c>
      <c r="D106" s="12" t="inlineStr">
        <is>
          <t>South</t>
        </is>
      </c>
      <c r="E106" s="12" t="inlineStr">
        <is>
          <t>Mobile</t>
        </is>
      </c>
      <c r="F106" s="12" t="inlineStr">
        <is>
          <t>Social</t>
        </is>
      </c>
      <c r="G106" s="12" t="inlineStr">
        <is>
          <t>Free</t>
        </is>
      </c>
      <c r="H106" s="12" t="n">
        <v>1</v>
      </c>
      <c r="I106" s="12" t="n">
        <v>1</v>
      </c>
      <c r="J106" s="12" t="n">
        <v>1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/>
      <c r="P106" s="12" t="n">
        <v>79.59999999999999</v>
      </c>
    </row>
    <row r="107">
      <c r="A107" s="12" t="inlineStr">
        <is>
          <t>USR-100106</t>
        </is>
      </c>
      <c r="B107" s="29" t="n">
        <v>45682</v>
      </c>
      <c r="C107" s="12" t="inlineStr">
        <is>
          <t>Control</t>
        </is>
      </c>
      <c r="D107" s="12" t="inlineStr">
        <is>
          <t>South</t>
        </is>
      </c>
      <c r="E107" s="12" t="inlineStr">
        <is>
          <t>Mobile</t>
        </is>
      </c>
      <c r="F107" s="12" t="inlineStr">
        <is>
          <t>Social</t>
        </is>
      </c>
      <c r="G107" s="12" t="inlineStr">
        <is>
          <t>Basic</t>
        </is>
      </c>
      <c r="H107" s="12" t="n">
        <v>1</v>
      </c>
      <c r="I107" s="12" t="n">
        <v>1</v>
      </c>
      <c r="J107" s="12" t="n">
        <v>1</v>
      </c>
      <c r="K107" s="12" t="n">
        <v>1</v>
      </c>
      <c r="L107" s="12" t="n">
        <v>8610.719999999999</v>
      </c>
      <c r="M107" s="12" t="n">
        <v>0</v>
      </c>
      <c r="N107" s="12" t="n">
        <v>0</v>
      </c>
      <c r="O107" s="12" t="n">
        <v>6</v>
      </c>
      <c r="P107" s="12" t="n">
        <v>61</v>
      </c>
    </row>
    <row r="108">
      <c r="A108" s="12" t="inlineStr">
        <is>
          <t>USR-100107</t>
        </is>
      </c>
      <c r="B108" s="29" t="n">
        <v>45680</v>
      </c>
      <c r="C108" s="12" t="inlineStr">
        <is>
          <t>Control</t>
        </is>
      </c>
      <c r="D108" s="12" t="inlineStr">
        <is>
          <t>West</t>
        </is>
      </c>
      <c r="E108" s="12" t="inlineStr">
        <is>
          <t>Mobile</t>
        </is>
      </c>
      <c r="F108" s="12" t="inlineStr">
        <is>
          <t>Email</t>
        </is>
      </c>
      <c r="G108" s="12" t="inlineStr">
        <is>
          <t>Free</t>
        </is>
      </c>
      <c r="H108" s="12" t="n">
        <v>1</v>
      </c>
      <c r="I108" s="12" t="n">
        <v>1</v>
      </c>
      <c r="J108" s="12" t="n">
        <v>1</v>
      </c>
      <c r="K108" s="12" t="n">
        <v>0</v>
      </c>
      <c r="L108" s="12" t="n">
        <v>0</v>
      </c>
      <c r="M108" s="12" t="n">
        <v>4</v>
      </c>
      <c r="N108" s="12" t="n">
        <v>0</v>
      </c>
      <c r="O108" s="12" t="n"/>
      <c r="P108" s="12" t="n">
        <v>51.1</v>
      </c>
    </row>
    <row r="109">
      <c r="A109" s="12" t="inlineStr">
        <is>
          <t>USR-100108</t>
        </is>
      </c>
      <c r="B109" s="29" t="n">
        <v>45802</v>
      </c>
      <c r="C109" s="12" t="inlineStr">
        <is>
          <t>Control</t>
        </is>
      </c>
      <c r="D109" s="12" t="inlineStr">
        <is>
          <t>East</t>
        </is>
      </c>
      <c r="E109" s="12" t="inlineStr">
        <is>
          <t>Desktop</t>
        </is>
      </c>
      <c r="F109" s="12" t="inlineStr">
        <is>
          <t>Referral</t>
        </is>
      </c>
      <c r="G109" s="12" t="inlineStr">
        <is>
          <t>Free</t>
        </is>
      </c>
      <c r="H109" s="12" t="n">
        <v>1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/>
      <c r="P109" s="12" t="n">
        <v>92.09999999999999</v>
      </c>
    </row>
    <row r="110">
      <c r="A110" s="12" t="inlineStr">
        <is>
          <t>USR-100109</t>
        </is>
      </c>
      <c r="B110" s="29" t="n">
        <v>45738</v>
      </c>
      <c r="C110" s="12" t="inlineStr">
        <is>
          <t>Control</t>
        </is>
      </c>
      <c r="D110" s="12" t="inlineStr">
        <is>
          <t>South</t>
        </is>
      </c>
      <c r="E110" s="12" t="inlineStr">
        <is>
          <t>Mobile</t>
        </is>
      </c>
      <c r="F110" s="12" t="inlineStr">
        <is>
          <t>Referral</t>
        </is>
      </c>
      <c r="G110" s="12" t="inlineStr">
        <is>
          <t>Basic</t>
        </is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/>
      <c r="P110" s="12" t="n">
        <v>82.09999999999999</v>
      </c>
    </row>
    <row r="111">
      <c r="A111" s="12" t="inlineStr">
        <is>
          <t>USR-100110</t>
        </is>
      </c>
      <c r="B111" s="29" t="n">
        <v>45700</v>
      </c>
      <c r="C111" s="12" t="inlineStr">
        <is>
          <t>Control</t>
        </is>
      </c>
      <c r="D111" s="12" t="inlineStr">
        <is>
          <t>West</t>
        </is>
      </c>
      <c r="E111" s="12" t="inlineStr">
        <is>
          <t>Desktop</t>
        </is>
      </c>
      <c r="F111" s="12" t="inlineStr">
        <is>
          <t>Paid Search</t>
        </is>
      </c>
      <c r="G111" s="12" t="inlineStr">
        <is>
          <t>Basic</t>
        </is>
      </c>
      <c r="H111" s="12" t="n">
        <v>1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1</v>
      </c>
      <c r="N111" s="12" t="n">
        <v>0</v>
      </c>
      <c r="O111" s="12" t="n"/>
      <c r="P111" s="12" t="n">
        <v>74</v>
      </c>
    </row>
    <row r="112">
      <c r="A112" s="12" t="inlineStr">
        <is>
          <t>USR-100111</t>
        </is>
      </c>
      <c r="B112" s="29" t="n">
        <v>45775</v>
      </c>
      <c r="C112" s="12" t="inlineStr">
        <is>
          <t>Control</t>
        </is>
      </c>
      <c r="D112" s="12" t="inlineStr">
        <is>
          <t>West</t>
        </is>
      </c>
      <c r="E112" s="12" t="inlineStr">
        <is>
          <t>Desktop</t>
        </is>
      </c>
      <c r="F112" s="12" t="inlineStr">
        <is>
          <t>Organic</t>
        </is>
      </c>
      <c r="G112" s="12" t="inlineStr">
        <is>
          <t>Basic</t>
        </is>
      </c>
      <c r="H112" s="12" t="n">
        <v>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/>
      <c r="P112" s="12" t="n">
        <v>63.4</v>
      </c>
    </row>
    <row r="113">
      <c r="A113" s="12" t="inlineStr">
        <is>
          <t>USR-100112</t>
        </is>
      </c>
      <c r="B113" s="29" t="n">
        <v>45687</v>
      </c>
      <c r="C113" s="12" t="inlineStr">
        <is>
          <t>Control</t>
        </is>
      </c>
      <c r="D113" s="12" t="inlineStr">
        <is>
          <t>North</t>
        </is>
      </c>
      <c r="E113" s="12" t="inlineStr">
        <is>
          <t>Mobile</t>
        </is>
      </c>
      <c r="F113" s="12" t="inlineStr">
        <is>
          <t>Organic</t>
        </is>
      </c>
      <c r="G113" s="12" t="inlineStr">
        <is>
          <t>Basic</t>
        </is>
      </c>
      <c r="H113" s="12" t="n">
        <v>1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/>
      <c r="P113" s="12" t="n">
        <v>53.2</v>
      </c>
    </row>
    <row r="114">
      <c r="A114" s="12" t="inlineStr">
        <is>
          <t>USR-100113</t>
        </is>
      </c>
      <c r="B114" s="29" t="n">
        <v>45796</v>
      </c>
      <c r="C114" s="12" t="inlineStr">
        <is>
          <t>Control</t>
        </is>
      </c>
      <c r="D114" s="12" t="inlineStr">
        <is>
          <t>East</t>
        </is>
      </c>
      <c r="E114" s="12" t="inlineStr">
        <is>
          <t>Tablet</t>
        </is>
      </c>
      <c r="F114" s="12" t="inlineStr">
        <is>
          <t>Paid Search</t>
        </is>
      </c>
      <c r="G114" s="12" t="inlineStr">
        <is>
          <t>Free</t>
        </is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/>
      <c r="P114" s="12" t="n">
        <v>48.1</v>
      </c>
    </row>
    <row r="115">
      <c r="A115" s="12" t="inlineStr">
        <is>
          <t>USR-100114</t>
        </is>
      </c>
      <c r="B115" s="29" t="n">
        <v>45680</v>
      </c>
      <c r="C115" s="12" t="inlineStr">
        <is>
          <t>Control</t>
        </is>
      </c>
      <c r="D115" s="12" t="inlineStr">
        <is>
          <t>South</t>
        </is>
      </c>
      <c r="E115" s="12" t="inlineStr">
        <is>
          <t>Mobile</t>
        </is>
      </c>
      <c r="F115" s="12" t="inlineStr">
        <is>
          <t>Social</t>
        </is>
      </c>
      <c r="G115" s="12" t="inlineStr">
        <is>
          <t>Free</t>
        </is>
      </c>
      <c r="H115" s="12" t="n">
        <v>1</v>
      </c>
      <c r="I115" s="12" t="n">
        <v>1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/>
      <c r="P115" s="12" t="n">
        <v>61.5</v>
      </c>
    </row>
    <row r="116">
      <c r="A116" s="12" t="inlineStr">
        <is>
          <t>USR-100115</t>
        </is>
      </c>
      <c r="B116" s="29" t="n">
        <v>45744</v>
      </c>
      <c r="C116" s="12" t="inlineStr">
        <is>
          <t>Control</t>
        </is>
      </c>
      <c r="D116" s="12" t="inlineStr">
        <is>
          <t>East</t>
        </is>
      </c>
      <c r="E116" s="12" t="inlineStr">
        <is>
          <t>Desktop</t>
        </is>
      </c>
      <c r="F116" s="12" t="inlineStr">
        <is>
          <t>Social</t>
        </is>
      </c>
      <c r="G116" s="12" t="inlineStr">
        <is>
          <t>Free</t>
        </is>
      </c>
      <c r="H116" s="12" t="n">
        <v>1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/>
      <c r="P116" s="12" t="n">
        <v>63.2</v>
      </c>
    </row>
    <row r="117">
      <c r="A117" s="12" t="inlineStr">
        <is>
          <t>USR-100116</t>
        </is>
      </c>
      <c r="B117" s="29" t="n">
        <v>45668</v>
      </c>
      <c r="C117" s="12" t="inlineStr">
        <is>
          <t>Control</t>
        </is>
      </c>
      <c r="D117" s="12" t="inlineStr">
        <is>
          <t>West</t>
        </is>
      </c>
      <c r="E117" s="12" t="inlineStr">
        <is>
          <t>Mobile</t>
        </is>
      </c>
      <c r="F117" s="12" t="inlineStr">
        <is>
          <t>Organic</t>
        </is>
      </c>
      <c r="G117" s="12" t="inlineStr">
        <is>
          <t>Free</t>
        </is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/>
      <c r="P117" s="12" t="n">
        <v>71.90000000000001</v>
      </c>
    </row>
    <row r="118">
      <c r="A118" s="12" t="inlineStr">
        <is>
          <t>USR-100117</t>
        </is>
      </c>
      <c r="B118" s="29" t="n">
        <v>45758</v>
      </c>
      <c r="C118" s="12" t="inlineStr">
        <is>
          <t>Control</t>
        </is>
      </c>
      <c r="D118" s="12" t="inlineStr">
        <is>
          <t>North</t>
        </is>
      </c>
      <c r="E118" s="12" t="inlineStr">
        <is>
          <t>Mobile</t>
        </is>
      </c>
      <c r="F118" s="12" t="inlineStr">
        <is>
          <t>Referral</t>
        </is>
      </c>
      <c r="G118" s="12" t="inlineStr">
        <is>
          <t>Free</t>
        </is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/>
      <c r="P118" s="12" t="n">
        <v>62.7</v>
      </c>
    </row>
    <row r="119">
      <c r="A119" s="12" t="inlineStr">
        <is>
          <t>USR-100118</t>
        </is>
      </c>
      <c r="B119" s="29" t="n">
        <v>45659</v>
      </c>
      <c r="C119" s="12" t="inlineStr">
        <is>
          <t>Control</t>
        </is>
      </c>
      <c r="D119" s="12" t="inlineStr">
        <is>
          <t>West</t>
        </is>
      </c>
      <c r="E119" s="12" t="inlineStr">
        <is>
          <t>Mobile</t>
        </is>
      </c>
      <c r="F119" s="12" t="inlineStr">
        <is>
          <t>Paid Search</t>
        </is>
      </c>
      <c r="G119" s="12" t="inlineStr">
        <is>
          <t>Free</t>
        </is>
      </c>
      <c r="H119" s="12" t="n">
        <v>1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/>
      <c r="P119" s="12" t="n">
        <v>51.5</v>
      </c>
    </row>
    <row r="120">
      <c r="A120" s="12" t="inlineStr">
        <is>
          <t>USR-100119</t>
        </is>
      </c>
      <c r="B120" s="29" t="n">
        <v>45734</v>
      </c>
      <c r="C120" s="12" t="inlineStr">
        <is>
          <t>Control</t>
        </is>
      </c>
      <c r="D120" s="12" t="inlineStr">
        <is>
          <t>East</t>
        </is>
      </c>
      <c r="E120" s="12" t="inlineStr">
        <is>
          <t>Mobile</t>
        </is>
      </c>
      <c r="F120" s="12" t="inlineStr">
        <is>
          <t>Social</t>
        </is>
      </c>
      <c r="G120" s="12" t="inlineStr">
        <is>
          <t>Free</t>
        </is>
      </c>
      <c r="H120" s="12" t="n">
        <v>1</v>
      </c>
      <c r="I120" s="12" t="n">
        <v>1</v>
      </c>
      <c r="J120" s="12" t="n">
        <v>1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/>
      <c r="P120" s="12" t="n">
        <v>39.1</v>
      </c>
    </row>
    <row r="121">
      <c r="A121" s="12" t="inlineStr">
        <is>
          <t>USR-100120</t>
        </is>
      </c>
      <c r="B121" s="29" t="n">
        <v>45747</v>
      </c>
      <c r="C121" s="12" t="inlineStr">
        <is>
          <t>Control</t>
        </is>
      </c>
      <c r="D121" s="12" t="inlineStr">
        <is>
          <t>North</t>
        </is>
      </c>
      <c r="E121" s="12" t="inlineStr">
        <is>
          <t>Mobile</t>
        </is>
      </c>
      <c r="F121" s="12" t="inlineStr">
        <is>
          <t>Email</t>
        </is>
      </c>
      <c r="G121" s="12" t="inlineStr">
        <is>
          <t>Free</t>
        </is>
      </c>
      <c r="H121" s="12" t="n">
        <v>1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/>
      <c r="P121" s="12" t="n">
        <v>43.8</v>
      </c>
    </row>
    <row r="122">
      <c r="A122" s="12" t="inlineStr">
        <is>
          <t>USR-100121</t>
        </is>
      </c>
      <c r="B122" s="29" t="n">
        <v>45663</v>
      </c>
      <c r="C122" s="12" t="inlineStr">
        <is>
          <t>Control</t>
        </is>
      </c>
      <c r="D122" s="12" t="inlineStr">
        <is>
          <t>North</t>
        </is>
      </c>
      <c r="E122" s="12" t="inlineStr">
        <is>
          <t>Mobile</t>
        </is>
      </c>
      <c r="F122" s="12" t="inlineStr">
        <is>
          <t>Paid Search</t>
        </is>
      </c>
      <c r="G122" s="12" t="inlineStr">
        <is>
          <t>Basic</t>
        </is>
      </c>
      <c r="H122" s="12" t="n">
        <v>1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/>
      <c r="P122" s="12" t="n">
        <v>59.9</v>
      </c>
    </row>
    <row r="123">
      <c r="A123" s="12" t="inlineStr">
        <is>
          <t>USR-100122</t>
        </is>
      </c>
      <c r="B123" s="29" t="n">
        <v>45683</v>
      </c>
      <c r="C123" s="12" t="inlineStr">
        <is>
          <t>Control</t>
        </is>
      </c>
      <c r="D123" s="12" t="inlineStr">
        <is>
          <t>North</t>
        </is>
      </c>
      <c r="E123" s="12" t="inlineStr">
        <is>
          <t>Mobile</t>
        </is>
      </c>
      <c r="F123" s="12" t="inlineStr">
        <is>
          <t>Referral</t>
        </is>
      </c>
      <c r="G123" s="12" t="inlineStr">
        <is>
          <t>Free</t>
        </is>
      </c>
      <c r="H123" s="12" t="n">
        <v>1</v>
      </c>
      <c r="I123" s="12" t="n">
        <v>1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/>
      <c r="P123" s="12" t="n">
        <v>71.40000000000001</v>
      </c>
    </row>
    <row r="124">
      <c r="A124" s="12" t="inlineStr">
        <is>
          <t>USR-100123</t>
        </is>
      </c>
      <c r="B124" s="29" t="n">
        <v>45769</v>
      </c>
      <c r="C124" s="12" t="inlineStr">
        <is>
          <t>Control</t>
        </is>
      </c>
      <c r="D124" s="12" t="inlineStr">
        <is>
          <t>South</t>
        </is>
      </c>
      <c r="E124" s="12" t="inlineStr">
        <is>
          <t>Mobile</t>
        </is>
      </c>
      <c r="F124" s="12" t="inlineStr">
        <is>
          <t>Referral</t>
        </is>
      </c>
      <c r="G124" s="12" t="inlineStr">
        <is>
          <t>Basic</t>
        </is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/>
      <c r="P124" s="12" t="n">
        <v>36.1</v>
      </c>
    </row>
    <row r="125">
      <c r="A125" s="12" t="inlineStr">
        <is>
          <t>USR-100124</t>
        </is>
      </c>
      <c r="B125" s="29" t="n">
        <v>45807</v>
      </c>
      <c r="C125" s="12" t="inlineStr">
        <is>
          <t>Control</t>
        </is>
      </c>
      <c r="D125" s="12" t="inlineStr">
        <is>
          <t>West</t>
        </is>
      </c>
      <c r="E125" s="12" t="n"/>
      <c r="F125" s="12" t="inlineStr">
        <is>
          <t>Email</t>
        </is>
      </c>
      <c r="G125" s="12" t="inlineStr">
        <is>
          <t>Basic</t>
        </is>
      </c>
      <c r="H125" s="12" t="n">
        <v>1</v>
      </c>
      <c r="I125" s="12" t="n">
        <v>1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/>
      <c r="P125" s="12" t="n">
        <v>47.9</v>
      </c>
    </row>
    <row r="126">
      <c r="A126" s="12" t="inlineStr">
        <is>
          <t>USR-100125</t>
        </is>
      </c>
      <c r="B126" s="29" t="n">
        <v>45795</v>
      </c>
      <c r="C126" s="12" t="inlineStr">
        <is>
          <t>Control</t>
        </is>
      </c>
      <c r="D126" s="12" t="inlineStr">
        <is>
          <t>West</t>
        </is>
      </c>
      <c r="E126" s="12" t="inlineStr">
        <is>
          <t>Desktop</t>
        </is>
      </c>
      <c r="F126" s="12" t="inlineStr">
        <is>
          <t>Organic</t>
        </is>
      </c>
      <c r="G126" s="12" t="inlineStr">
        <is>
          <t>Premium</t>
        </is>
      </c>
      <c r="H126" s="12" t="n">
        <v>1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/>
      <c r="P126" s="12" t="n">
        <v>62.5</v>
      </c>
    </row>
    <row r="127">
      <c r="A127" s="12" t="inlineStr">
        <is>
          <t>USR-100126</t>
        </is>
      </c>
      <c r="B127" s="29" t="n">
        <v>45670</v>
      </c>
      <c r="C127" s="12" t="inlineStr">
        <is>
          <t>Control</t>
        </is>
      </c>
      <c r="D127" s="12" t="inlineStr">
        <is>
          <t>South</t>
        </is>
      </c>
      <c r="E127" s="12" t="inlineStr">
        <is>
          <t>Desktop</t>
        </is>
      </c>
      <c r="F127" s="12" t="inlineStr">
        <is>
          <t>Paid Search</t>
        </is>
      </c>
      <c r="G127" s="12" t="inlineStr">
        <is>
          <t>Premium</t>
        </is>
      </c>
      <c r="H127" s="12" t="n">
        <v>1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/>
      <c r="P127" s="12" t="n">
        <v>56.9</v>
      </c>
    </row>
    <row r="128">
      <c r="A128" s="12" t="inlineStr">
        <is>
          <t>USR-100127</t>
        </is>
      </c>
      <c r="B128" s="29" t="n">
        <v>45741</v>
      </c>
      <c r="C128" s="12" t="inlineStr">
        <is>
          <t>Control</t>
        </is>
      </c>
      <c r="D128" s="12" t="inlineStr">
        <is>
          <t>North</t>
        </is>
      </c>
      <c r="E128" s="12" t="inlineStr">
        <is>
          <t>Desktop</t>
        </is>
      </c>
      <c r="F128" s="12" t="inlineStr">
        <is>
          <t>Email</t>
        </is>
      </c>
      <c r="G128" s="12" t="inlineStr">
        <is>
          <t>Free</t>
        </is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/>
      <c r="P128" s="12" t="n">
        <v>64.7</v>
      </c>
    </row>
    <row r="129">
      <c r="A129" s="12" t="inlineStr">
        <is>
          <t>USR-100128</t>
        </is>
      </c>
      <c r="B129" s="29" t="n">
        <v>45776</v>
      </c>
      <c r="C129" s="12" t="inlineStr">
        <is>
          <t>Control</t>
        </is>
      </c>
      <c r="D129" s="12" t="inlineStr">
        <is>
          <t>South</t>
        </is>
      </c>
      <c r="E129" s="12" t="inlineStr">
        <is>
          <t>Desktop</t>
        </is>
      </c>
      <c r="F129" s="12" t="inlineStr">
        <is>
          <t>Organic</t>
        </is>
      </c>
      <c r="G129" s="12" t="inlineStr">
        <is>
          <t>Free</t>
        </is>
      </c>
      <c r="H129" s="12" t="n">
        <v>1</v>
      </c>
      <c r="I129" s="12" t="n">
        <v>1</v>
      </c>
      <c r="J129" s="12" t="n">
        <v>1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/>
      <c r="P129" s="12" t="n">
        <v>64</v>
      </c>
    </row>
    <row r="130">
      <c r="A130" s="12" t="inlineStr">
        <is>
          <t>USR-100129</t>
        </is>
      </c>
      <c r="B130" s="29" t="n">
        <v>45794</v>
      </c>
      <c r="C130" s="12" t="inlineStr">
        <is>
          <t>Control</t>
        </is>
      </c>
      <c r="D130" s="12" t="inlineStr">
        <is>
          <t>East</t>
        </is>
      </c>
      <c r="E130" s="12" t="inlineStr">
        <is>
          <t>Mobile</t>
        </is>
      </c>
      <c r="F130" s="12" t="inlineStr">
        <is>
          <t>Referral</t>
        </is>
      </c>
      <c r="G130" s="12" t="inlineStr">
        <is>
          <t>Basic</t>
        </is>
      </c>
      <c r="H130" s="12" t="n">
        <v>1</v>
      </c>
      <c r="I130" s="12" t="n">
        <v>1</v>
      </c>
      <c r="J130" s="12" t="n">
        <v>1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/>
      <c r="P130" s="12" t="n">
        <v>75.2</v>
      </c>
    </row>
    <row r="131">
      <c r="A131" s="12" t="inlineStr">
        <is>
          <t>USR-100130</t>
        </is>
      </c>
      <c r="B131" s="29" t="n">
        <v>45659</v>
      </c>
      <c r="C131" s="12" t="inlineStr">
        <is>
          <t>Control</t>
        </is>
      </c>
      <c r="D131" s="12" t="inlineStr">
        <is>
          <t>North</t>
        </is>
      </c>
      <c r="E131" s="12" t="inlineStr">
        <is>
          <t>Mobile</t>
        </is>
      </c>
      <c r="F131" s="12" t="inlineStr">
        <is>
          <t>Paid Search</t>
        </is>
      </c>
      <c r="G131" s="12" t="inlineStr">
        <is>
          <t>Free</t>
        </is>
      </c>
      <c r="H131" s="12" t="n">
        <v>1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1</v>
      </c>
      <c r="N131" s="12" t="n">
        <v>0</v>
      </c>
      <c r="O131" s="12" t="n"/>
      <c r="P131" s="12" t="n">
        <v>79</v>
      </c>
    </row>
    <row r="132">
      <c r="A132" s="12" t="inlineStr">
        <is>
          <t>USR-100131</t>
        </is>
      </c>
      <c r="B132" s="29" t="n">
        <v>45691</v>
      </c>
      <c r="C132" s="12" t="inlineStr">
        <is>
          <t>Control</t>
        </is>
      </c>
      <c r="D132" s="12" t="inlineStr">
        <is>
          <t>South</t>
        </is>
      </c>
      <c r="E132" s="12" t="inlineStr">
        <is>
          <t>Mobile</t>
        </is>
      </c>
      <c r="F132" s="12" t="inlineStr">
        <is>
          <t>Organic</t>
        </is>
      </c>
      <c r="G132" s="12" t="inlineStr">
        <is>
          <t>Free</t>
        </is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/>
      <c r="P132" s="12" t="n">
        <v>33</v>
      </c>
    </row>
    <row r="133">
      <c r="A133" s="12" t="inlineStr">
        <is>
          <t>USR-100132</t>
        </is>
      </c>
      <c r="B133" s="29" t="n">
        <v>45720</v>
      </c>
      <c r="C133" s="12" t="inlineStr">
        <is>
          <t>Control</t>
        </is>
      </c>
      <c r="D133" s="12" t="inlineStr">
        <is>
          <t>East</t>
        </is>
      </c>
      <c r="E133" s="12" t="inlineStr">
        <is>
          <t>Mobile</t>
        </is>
      </c>
      <c r="F133" s="12" t="inlineStr">
        <is>
          <t>Organic</t>
        </is>
      </c>
      <c r="G133" s="12" t="inlineStr">
        <is>
          <t>Free</t>
        </is>
      </c>
      <c r="H133" s="12" t="n">
        <v>1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/>
      <c r="P133" s="12" t="n">
        <v>67.90000000000001</v>
      </c>
    </row>
    <row r="134">
      <c r="A134" s="12" t="inlineStr">
        <is>
          <t>USR-100133</t>
        </is>
      </c>
      <c r="B134" s="29" t="n">
        <v>45683</v>
      </c>
      <c r="C134" s="12" t="inlineStr">
        <is>
          <t>Control</t>
        </is>
      </c>
      <c r="D134" s="12" t="inlineStr">
        <is>
          <t>South</t>
        </is>
      </c>
      <c r="E134" s="12" t="inlineStr">
        <is>
          <t>Mobile</t>
        </is>
      </c>
      <c r="F134" s="12" t="inlineStr">
        <is>
          <t>Paid Search</t>
        </is>
      </c>
      <c r="G134" s="12" t="inlineStr">
        <is>
          <t>Basic</t>
        </is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/>
      <c r="P134" s="12" t="n">
        <v>42.2</v>
      </c>
    </row>
    <row r="135">
      <c r="A135" s="12" t="inlineStr">
        <is>
          <t>USR-100134</t>
        </is>
      </c>
      <c r="B135" s="29" t="n">
        <v>45789</v>
      </c>
      <c r="C135" s="12" t="inlineStr">
        <is>
          <t>Control</t>
        </is>
      </c>
      <c r="D135" s="12" t="inlineStr">
        <is>
          <t>West</t>
        </is>
      </c>
      <c r="E135" s="12" t="inlineStr">
        <is>
          <t>Mobile</t>
        </is>
      </c>
      <c r="F135" s="12" t="inlineStr">
        <is>
          <t>Paid Search</t>
        </is>
      </c>
      <c r="G135" s="12" t="inlineStr">
        <is>
          <t>Basic</t>
        </is>
      </c>
      <c r="H135" s="12" t="n">
        <v>1</v>
      </c>
      <c r="I135" s="12" t="n">
        <v>1</v>
      </c>
      <c r="J135" s="12" t="n">
        <v>1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/>
      <c r="P135" s="12" t="n">
        <v>43.4</v>
      </c>
    </row>
    <row r="136">
      <c r="A136" s="12" t="inlineStr">
        <is>
          <t>USR-100135</t>
        </is>
      </c>
      <c r="B136" s="29" t="n">
        <v>45722</v>
      </c>
      <c r="C136" s="12" t="inlineStr">
        <is>
          <t>Control</t>
        </is>
      </c>
      <c r="D136" s="12" t="inlineStr">
        <is>
          <t>North</t>
        </is>
      </c>
      <c r="E136" s="12" t="inlineStr">
        <is>
          <t>Mobile</t>
        </is>
      </c>
      <c r="F136" s="12" t="inlineStr">
        <is>
          <t>Organic</t>
        </is>
      </c>
      <c r="G136" s="12" t="inlineStr">
        <is>
          <t>Basic</t>
        </is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/>
      <c r="P136" s="12" t="n">
        <v>54.4</v>
      </c>
    </row>
    <row r="137">
      <c r="A137" s="12" t="inlineStr">
        <is>
          <t>USR-100136</t>
        </is>
      </c>
      <c r="B137" s="29" t="n">
        <v>45726</v>
      </c>
      <c r="C137" s="12" t="inlineStr">
        <is>
          <t>Control</t>
        </is>
      </c>
      <c r="D137" s="12" t="inlineStr">
        <is>
          <t>South</t>
        </is>
      </c>
      <c r="E137" s="12" t="inlineStr">
        <is>
          <t>Desktop</t>
        </is>
      </c>
      <c r="F137" s="12" t="inlineStr">
        <is>
          <t>Email</t>
        </is>
      </c>
      <c r="G137" s="12" t="inlineStr">
        <is>
          <t>Premium</t>
        </is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/>
      <c r="P137" s="12" t="n">
        <v>45.7</v>
      </c>
    </row>
    <row r="138">
      <c r="A138" s="12" t="inlineStr">
        <is>
          <t>USR-100137</t>
        </is>
      </c>
      <c r="B138" s="29" t="n">
        <v>45783</v>
      </c>
      <c r="C138" s="12" t="inlineStr">
        <is>
          <t>Control</t>
        </is>
      </c>
      <c r="D138" s="12" t="inlineStr">
        <is>
          <t>North</t>
        </is>
      </c>
      <c r="E138" s="12" t="inlineStr">
        <is>
          <t>Mobile</t>
        </is>
      </c>
      <c r="F138" s="12" t="inlineStr">
        <is>
          <t>Paid Search</t>
        </is>
      </c>
      <c r="G138" s="12" t="inlineStr">
        <is>
          <t>Free</t>
        </is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3</v>
      </c>
      <c r="N138" s="12" t="n">
        <v>0</v>
      </c>
      <c r="O138" s="12" t="n"/>
      <c r="P138" s="12" t="n">
        <v>32</v>
      </c>
    </row>
    <row r="139">
      <c r="A139" s="12" t="inlineStr">
        <is>
          <t>USR-100138</t>
        </is>
      </c>
      <c r="B139" s="29" t="n">
        <v>45711</v>
      </c>
      <c r="C139" s="12" t="inlineStr">
        <is>
          <t>Control</t>
        </is>
      </c>
      <c r="D139" s="12" t="inlineStr">
        <is>
          <t>South</t>
        </is>
      </c>
      <c r="E139" s="12" t="inlineStr">
        <is>
          <t>Desktop</t>
        </is>
      </c>
      <c r="F139" s="12" t="inlineStr">
        <is>
          <t>Paid Search</t>
        </is>
      </c>
      <c r="G139" s="12" t="inlineStr">
        <is>
          <t>Free</t>
        </is>
      </c>
      <c r="H139" s="12" t="n">
        <v>1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/>
      <c r="P139" s="12" t="n">
        <v>70.90000000000001</v>
      </c>
    </row>
    <row r="140">
      <c r="A140" s="12" t="inlineStr">
        <is>
          <t>USR-100139</t>
        </is>
      </c>
      <c r="B140" s="29" t="n">
        <v>45686</v>
      </c>
      <c r="C140" s="12" t="inlineStr">
        <is>
          <t>Control</t>
        </is>
      </c>
      <c r="D140" s="12" t="inlineStr">
        <is>
          <t>West</t>
        </is>
      </c>
      <c r="E140" s="12" t="inlineStr">
        <is>
          <t>Mobile</t>
        </is>
      </c>
      <c r="F140" s="12" t="inlineStr">
        <is>
          <t>Social</t>
        </is>
      </c>
      <c r="G140" s="12" t="inlineStr">
        <is>
          <t>Basic</t>
        </is>
      </c>
      <c r="H140" s="12" t="n">
        <v>1</v>
      </c>
      <c r="I140" s="12" t="n">
        <v>1</v>
      </c>
      <c r="J140" s="12" t="n">
        <v>1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/>
      <c r="P140" s="12" t="n">
        <v>59.1</v>
      </c>
    </row>
    <row r="141">
      <c r="A141" s="12" t="inlineStr">
        <is>
          <t>USR-100140</t>
        </is>
      </c>
      <c r="B141" s="29" t="n">
        <v>45688</v>
      </c>
      <c r="C141" s="12" t="inlineStr">
        <is>
          <t>Control</t>
        </is>
      </c>
      <c r="D141" s="12" t="inlineStr">
        <is>
          <t>North</t>
        </is>
      </c>
      <c r="E141" s="12" t="inlineStr">
        <is>
          <t>Mobile</t>
        </is>
      </c>
      <c r="F141" s="12" t="inlineStr">
        <is>
          <t>Organic</t>
        </is>
      </c>
      <c r="G141" s="12" t="inlineStr">
        <is>
          <t>Basic</t>
        </is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/>
      <c r="P141" s="12" t="n">
        <v>62.4</v>
      </c>
    </row>
    <row r="142">
      <c r="A142" s="12" t="inlineStr">
        <is>
          <t>USR-100141</t>
        </is>
      </c>
      <c r="B142" s="29" t="n">
        <v>45676</v>
      </c>
      <c r="C142" s="12" t="inlineStr">
        <is>
          <t>Control</t>
        </is>
      </c>
      <c r="D142" s="12" t="inlineStr">
        <is>
          <t>South</t>
        </is>
      </c>
      <c r="E142" s="12" t="inlineStr">
        <is>
          <t>Mobile</t>
        </is>
      </c>
      <c r="F142" s="12" t="inlineStr">
        <is>
          <t>Organic</t>
        </is>
      </c>
      <c r="G142" s="12" t="inlineStr">
        <is>
          <t>Free</t>
        </is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/>
      <c r="P142" s="12" t="n">
        <v>49.6</v>
      </c>
    </row>
    <row r="143">
      <c r="A143" s="12" t="inlineStr">
        <is>
          <t>USR-100142</t>
        </is>
      </c>
      <c r="B143" s="29" t="n">
        <v>45750</v>
      </c>
      <c r="C143" s="12" t="inlineStr">
        <is>
          <t>Control</t>
        </is>
      </c>
      <c r="D143" s="12" t="inlineStr">
        <is>
          <t>West</t>
        </is>
      </c>
      <c r="E143" s="12" t="inlineStr">
        <is>
          <t>Desktop</t>
        </is>
      </c>
      <c r="F143" s="12" t="inlineStr">
        <is>
          <t>Social</t>
        </is>
      </c>
      <c r="G143" s="12" t="inlineStr">
        <is>
          <t>Free</t>
        </is>
      </c>
      <c r="H143" s="12" t="n">
        <v>1</v>
      </c>
      <c r="I143" s="12" t="n">
        <v>1</v>
      </c>
      <c r="J143" s="12" t="n">
        <v>1</v>
      </c>
      <c r="K143" s="12" t="n">
        <v>1</v>
      </c>
      <c r="L143" s="12" t="n">
        <v>404.4</v>
      </c>
      <c r="M143" s="12" t="n">
        <v>0</v>
      </c>
      <c r="N143" s="12" t="n">
        <v>0</v>
      </c>
      <c r="O143" s="12" t="n">
        <v>9</v>
      </c>
      <c r="P143" s="12" t="n">
        <v>80.59999999999999</v>
      </c>
    </row>
    <row r="144">
      <c r="A144" s="12" t="inlineStr">
        <is>
          <t>USR-100143</t>
        </is>
      </c>
      <c r="B144" s="29" t="n">
        <v>45754</v>
      </c>
      <c r="C144" s="12" t="inlineStr">
        <is>
          <t>Control</t>
        </is>
      </c>
      <c r="D144" s="12" t="inlineStr">
        <is>
          <t>North</t>
        </is>
      </c>
      <c r="E144" s="12" t="inlineStr">
        <is>
          <t>Mobile</t>
        </is>
      </c>
      <c r="F144" s="12" t="inlineStr">
        <is>
          <t>Paid Search</t>
        </is>
      </c>
      <c r="G144" s="12" t="inlineStr">
        <is>
          <t>Free</t>
        </is>
      </c>
      <c r="H144" s="12" t="n">
        <v>1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/>
      <c r="P144" s="12" t="n">
        <v>47.9</v>
      </c>
    </row>
    <row r="145">
      <c r="A145" s="12" t="inlineStr">
        <is>
          <t>USR-100144</t>
        </is>
      </c>
      <c r="B145" s="29" t="n">
        <v>45663</v>
      </c>
      <c r="C145" s="12" t="inlineStr">
        <is>
          <t>Control</t>
        </is>
      </c>
      <c r="D145" s="12" t="inlineStr">
        <is>
          <t>East</t>
        </is>
      </c>
      <c r="E145" s="12" t="inlineStr">
        <is>
          <t>Mobile</t>
        </is>
      </c>
      <c r="F145" s="12" t="inlineStr">
        <is>
          <t>Paid Search</t>
        </is>
      </c>
      <c r="G145" s="12" t="inlineStr">
        <is>
          <t>Basic</t>
        </is>
      </c>
      <c r="H145" s="12" t="n">
        <v>1</v>
      </c>
      <c r="I145" s="12" t="n">
        <v>1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/>
      <c r="P145" s="12" t="n">
        <v>54.8</v>
      </c>
    </row>
    <row r="146">
      <c r="A146" s="12" t="inlineStr">
        <is>
          <t>USR-100145</t>
        </is>
      </c>
      <c r="B146" s="29" t="n">
        <v>45758</v>
      </c>
      <c r="C146" s="12" t="inlineStr">
        <is>
          <t>Control</t>
        </is>
      </c>
      <c r="D146" s="12" t="inlineStr">
        <is>
          <t>East</t>
        </is>
      </c>
      <c r="E146" s="12" t="inlineStr">
        <is>
          <t>Mobile</t>
        </is>
      </c>
      <c r="F146" s="12" t="inlineStr">
        <is>
          <t>Organic</t>
        </is>
      </c>
      <c r="G146" s="12" t="inlineStr">
        <is>
          <t>Free</t>
        </is>
      </c>
      <c r="H146" s="12" t="n">
        <v>1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1</v>
      </c>
      <c r="N146" s="12" t="n">
        <v>0</v>
      </c>
      <c r="O146" s="12" t="n"/>
      <c r="P146" s="12" t="n">
        <v>53.9</v>
      </c>
    </row>
    <row r="147">
      <c r="A147" s="12" t="inlineStr">
        <is>
          <t>USR-100146</t>
        </is>
      </c>
      <c r="B147" s="29" t="n">
        <v>45770</v>
      </c>
      <c r="C147" s="12" t="inlineStr">
        <is>
          <t>Control</t>
        </is>
      </c>
      <c r="D147" s="12" t="inlineStr">
        <is>
          <t>East</t>
        </is>
      </c>
      <c r="E147" s="12" t="inlineStr">
        <is>
          <t>Mobile</t>
        </is>
      </c>
      <c r="F147" s="12" t="inlineStr">
        <is>
          <t>Paid Search</t>
        </is>
      </c>
      <c r="G147" s="12" t="inlineStr">
        <is>
          <t>Free</t>
        </is>
      </c>
      <c r="H147" s="12" t="n">
        <v>1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/>
      <c r="P147" s="12" t="n">
        <v>41.3</v>
      </c>
    </row>
    <row r="148">
      <c r="A148" s="12" t="inlineStr">
        <is>
          <t>USR-100147</t>
        </is>
      </c>
      <c r="B148" s="29" t="n">
        <v>45741</v>
      </c>
      <c r="C148" s="12" t="inlineStr">
        <is>
          <t>Control</t>
        </is>
      </c>
      <c r="D148" s="12" t="inlineStr">
        <is>
          <t>West</t>
        </is>
      </c>
      <c r="E148" s="12" t="inlineStr">
        <is>
          <t>Mobile</t>
        </is>
      </c>
      <c r="F148" s="12" t="inlineStr">
        <is>
          <t>Organic</t>
        </is>
      </c>
      <c r="G148" s="12" t="inlineStr">
        <is>
          <t>Basic</t>
        </is>
      </c>
      <c r="H148" s="12" t="n">
        <v>1</v>
      </c>
      <c r="I148" s="12" t="n">
        <v>1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/>
      <c r="P148" s="12" t="n">
        <v>38.9</v>
      </c>
    </row>
    <row r="149">
      <c r="A149" s="12" t="inlineStr">
        <is>
          <t>USR-100148</t>
        </is>
      </c>
      <c r="B149" s="29" t="n">
        <v>45802</v>
      </c>
      <c r="C149" s="12" t="inlineStr">
        <is>
          <t>Control</t>
        </is>
      </c>
      <c r="D149" s="12" t="inlineStr">
        <is>
          <t>South</t>
        </is>
      </c>
      <c r="E149" s="12" t="inlineStr">
        <is>
          <t>Desktop</t>
        </is>
      </c>
      <c r="F149" s="12" t="inlineStr">
        <is>
          <t>Organic</t>
        </is>
      </c>
      <c r="G149" s="12" t="inlineStr">
        <is>
          <t>Basic</t>
        </is>
      </c>
      <c r="H149" s="12" t="n">
        <v>1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/>
      <c r="P149" s="12" t="n">
        <v>63.6</v>
      </c>
    </row>
    <row r="150">
      <c r="A150" s="12" t="inlineStr">
        <is>
          <t>USR-100149</t>
        </is>
      </c>
      <c r="B150" s="29" t="n">
        <v>45685</v>
      </c>
      <c r="C150" s="12" t="inlineStr">
        <is>
          <t>Control</t>
        </is>
      </c>
      <c r="D150" s="12" t="inlineStr">
        <is>
          <t>North</t>
        </is>
      </c>
      <c r="E150" s="12" t="inlineStr">
        <is>
          <t>Mobile</t>
        </is>
      </c>
      <c r="F150" s="12" t="inlineStr">
        <is>
          <t>Organic</t>
        </is>
      </c>
      <c r="G150" s="12" t="inlineStr">
        <is>
          <t>Free</t>
        </is>
      </c>
      <c r="H150" s="12" t="n">
        <v>1</v>
      </c>
      <c r="I150" s="12" t="n">
        <v>1</v>
      </c>
      <c r="J150" s="12" t="n">
        <v>1</v>
      </c>
      <c r="K150" s="12" t="n">
        <v>1</v>
      </c>
      <c r="L150" s="12" t="n">
        <v>577.9400000000001</v>
      </c>
      <c r="M150" s="12" t="n">
        <v>0</v>
      </c>
      <c r="N150" s="12" t="n">
        <v>0</v>
      </c>
      <c r="O150" s="12" t="n">
        <v>9</v>
      </c>
      <c r="P150" s="12" t="n">
        <v>76.59999999999999</v>
      </c>
    </row>
    <row r="151">
      <c r="A151" s="12" t="inlineStr">
        <is>
          <t>USR-100150</t>
        </is>
      </c>
      <c r="B151" s="29" t="n">
        <v>45700</v>
      </c>
      <c r="C151" s="12" t="inlineStr">
        <is>
          <t>Control</t>
        </is>
      </c>
      <c r="D151" s="12" t="inlineStr">
        <is>
          <t>West</t>
        </is>
      </c>
      <c r="E151" s="12" t="inlineStr">
        <is>
          <t>Mobile</t>
        </is>
      </c>
      <c r="F151" s="12" t="inlineStr">
        <is>
          <t>Paid Search</t>
        </is>
      </c>
      <c r="G151" s="12" t="inlineStr">
        <is>
          <t>Premium</t>
        </is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1</v>
      </c>
      <c r="N151" s="12" t="n">
        <v>0</v>
      </c>
      <c r="O151" s="12" t="n"/>
      <c r="P151" s="12" t="n">
        <v>67.59999999999999</v>
      </c>
    </row>
    <row r="152">
      <c r="A152" s="12" t="inlineStr">
        <is>
          <t>USR-100151</t>
        </is>
      </c>
      <c r="B152" s="29" t="n">
        <v>45776</v>
      </c>
      <c r="C152" s="12" t="inlineStr">
        <is>
          <t>Control</t>
        </is>
      </c>
      <c r="D152" s="12" t="inlineStr">
        <is>
          <t>North</t>
        </is>
      </c>
      <c r="E152" s="12" t="inlineStr">
        <is>
          <t>Mobile</t>
        </is>
      </c>
      <c r="F152" s="12" t="inlineStr">
        <is>
          <t>Social</t>
        </is>
      </c>
      <c r="G152" s="12" t="inlineStr">
        <is>
          <t>Premium</t>
        </is>
      </c>
      <c r="H152" s="12" t="n">
        <v>1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/>
      <c r="P152" s="12" t="n">
        <v>43.1</v>
      </c>
    </row>
    <row r="153">
      <c r="A153" s="12" t="inlineStr">
        <is>
          <t>USR-100152</t>
        </is>
      </c>
      <c r="B153" s="29" t="n">
        <v>45729</v>
      </c>
      <c r="C153" s="12" t="inlineStr">
        <is>
          <t>Control</t>
        </is>
      </c>
      <c r="D153" s="12" t="inlineStr">
        <is>
          <t>South</t>
        </is>
      </c>
      <c r="E153" s="12" t="inlineStr">
        <is>
          <t>Mobile</t>
        </is>
      </c>
      <c r="F153" s="12" t="inlineStr">
        <is>
          <t>Email</t>
        </is>
      </c>
      <c r="G153" s="12" t="inlineStr">
        <is>
          <t>Free</t>
        </is>
      </c>
      <c r="H153" s="12" t="n">
        <v>1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/>
      <c r="P153" s="12" t="n">
        <v>58.3</v>
      </c>
    </row>
    <row r="154">
      <c r="A154" s="12" t="inlineStr">
        <is>
          <t>USR-100153</t>
        </is>
      </c>
      <c r="B154" s="29" t="n">
        <v>45692</v>
      </c>
      <c r="C154" s="12" t="inlineStr">
        <is>
          <t>Control</t>
        </is>
      </c>
      <c r="D154" s="12" t="inlineStr">
        <is>
          <t>East</t>
        </is>
      </c>
      <c r="E154" s="12" t="inlineStr">
        <is>
          <t>Desktop</t>
        </is>
      </c>
      <c r="F154" s="12" t="inlineStr">
        <is>
          <t>Paid Search</t>
        </is>
      </c>
      <c r="G154" s="12" t="inlineStr">
        <is>
          <t>Free</t>
        </is>
      </c>
      <c r="H154" s="12" t="n">
        <v>1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/>
      <c r="P154" s="12" t="n">
        <v>69.8</v>
      </c>
    </row>
    <row r="155">
      <c r="A155" s="12" t="inlineStr">
        <is>
          <t>USR-100154</t>
        </is>
      </c>
      <c r="B155" s="29" t="n">
        <v>45720</v>
      </c>
      <c r="C155" s="12" t="inlineStr">
        <is>
          <t>Control</t>
        </is>
      </c>
      <c r="D155" s="12" t="inlineStr">
        <is>
          <t>South</t>
        </is>
      </c>
      <c r="E155" s="12" t="inlineStr">
        <is>
          <t>Mobile</t>
        </is>
      </c>
      <c r="F155" s="12" t="inlineStr">
        <is>
          <t>Referral</t>
        </is>
      </c>
      <c r="G155" s="12" t="inlineStr">
        <is>
          <t>Free</t>
        </is>
      </c>
      <c r="H155" s="12" t="n">
        <v>1</v>
      </c>
      <c r="I155" s="12" t="n">
        <v>1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/>
      <c r="P155" s="12" t="n"/>
    </row>
    <row r="156">
      <c r="A156" s="12" t="inlineStr">
        <is>
          <t>USR-100155</t>
        </is>
      </c>
      <c r="B156" s="29" t="n">
        <v>45692</v>
      </c>
      <c r="C156" s="12" t="inlineStr">
        <is>
          <t>Control</t>
        </is>
      </c>
      <c r="D156" s="12" t="inlineStr">
        <is>
          <t>West</t>
        </is>
      </c>
      <c r="E156" s="12" t="inlineStr">
        <is>
          <t>Mobile</t>
        </is>
      </c>
      <c r="F156" s="12" t="inlineStr">
        <is>
          <t>Paid Search</t>
        </is>
      </c>
      <c r="G156" s="12" t="inlineStr">
        <is>
          <t>Basic</t>
        </is>
      </c>
      <c r="H156" s="12" t="n">
        <v>1</v>
      </c>
      <c r="I156" s="12" t="n">
        <v>1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/>
      <c r="P156" s="12" t="n">
        <v>41.9</v>
      </c>
    </row>
    <row r="157">
      <c r="A157" s="12" t="inlineStr">
        <is>
          <t>USR-100156</t>
        </is>
      </c>
      <c r="B157" s="29" t="n">
        <v>45727</v>
      </c>
      <c r="C157" s="12" t="inlineStr">
        <is>
          <t>Control</t>
        </is>
      </c>
      <c r="D157" s="12" t="inlineStr">
        <is>
          <t>North</t>
        </is>
      </c>
      <c r="E157" s="12" t="inlineStr">
        <is>
          <t>Desktop</t>
        </is>
      </c>
      <c r="F157" s="12" t="inlineStr">
        <is>
          <t>Organic</t>
        </is>
      </c>
      <c r="G157" s="12" t="inlineStr">
        <is>
          <t>Free</t>
        </is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/>
      <c r="P157" s="12" t="n">
        <v>33.1</v>
      </c>
    </row>
    <row r="158">
      <c r="A158" s="12" t="inlineStr">
        <is>
          <t>USR-100157</t>
        </is>
      </c>
      <c r="B158" s="29" t="n">
        <v>45769</v>
      </c>
      <c r="C158" s="12" t="inlineStr">
        <is>
          <t>Control</t>
        </is>
      </c>
      <c r="D158" s="12" t="inlineStr">
        <is>
          <t>West</t>
        </is>
      </c>
      <c r="E158" s="12" t="inlineStr">
        <is>
          <t>Mobile</t>
        </is>
      </c>
      <c r="F158" s="12" t="inlineStr">
        <is>
          <t>Organic</t>
        </is>
      </c>
      <c r="G158" s="12" t="inlineStr">
        <is>
          <t>Free</t>
        </is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/>
      <c r="P158" s="12" t="n">
        <v>58.6</v>
      </c>
    </row>
    <row r="159">
      <c r="A159" s="12" t="inlineStr">
        <is>
          <t>USR-100158</t>
        </is>
      </c>
      <c r="B159" s="29" t="n">
        <v>45724</v>
      </c>
      <c r="C159" s="12" t="inlineStr">
        <is>
          <t>Control</t>
        </is>
      </c>
      <c r="D159" s="12" t="inlineStr">
        <is>
          <t>North</t>
        </is>
      </c>
      <c r="E159" s="12" t="inlineStr">
        <is>
          <t>Desktop</t>
        </is>
      </c>
      <c r="F159" s="12" t="inlineStr">
        <is>
          <t>Paid Search</t>
        </is>
      </c>
      <c r="G159" s="12" t="inlineStr">
        <is>
          <t>Free</t>
        </is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/>
      <c r="P159" s="12" t="n">
        <v>55.7</v>
      </c>
    </row>
    <row r="160">
      <c r="A160" s="12" t="inlineStr">
        <is>
          <t>USR-100159</t>
        </is>
      </c>
      <c r="B160" s="29" t="n">
        <v>45726</v>
      </c>
      <c r="C160" s="12" t="inlineStr">
        <is>
          <t>Control</t>
        </is>
      </c>
      <c r="D160" s="12" t="inlineStr">
        <is>
          <t>East</t>
        </is>
      </c>
      <c r="E160" s="12" t="inlineStr">
        <is>
          <t>Mobile</t>
        </is>
      </c>
      <c r="F160" s="12" t="inlineStr">
        <is>
          <t>Organic</t>
        </is>
      </c>
      <c r="G160" s="12" t="inlineStr">
        <is>
          <t>Free</t>
        </is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2</v>
      </c>
      <c r="N160" s="12" t="n">
        <v>0</v>
      </c>
      <c r="O160" s="12" t="n"/>
      <c r="P160" s="12" t="n">
        <v>64.90000000000001</v>
      </c>
    </row>
    <row r="161">
      <c r="A161" s="12" t="inlineStr">
        <is>
          <t>USR-100160</t>
        </is>
      </c>
      <c r="B161" s="29" t="n">
        <v>45795</v>
      </c>
      <c r="C161" s="12" t="inlineStr">
        <is>
          <t>Control</t>
        </is>
      </c>
      <c r="D161" s="12" t="inlineStr">
        <is>
          <t>North</t>
        </is>
      </c>
      <c r="E161" s="12" t="inlineStr">
        <is>
          <t>Desktop</t>
        </is>
      </c>
      <c r="F161" s="12" t="inlineStr">
        <is>
          <t>Paid Search</t>
        </is>
      </c>
      <c r="G161" s="12" t="inlineStr">
        <is>
          <t>Basic</t>
        </is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/>
      <c r="P161" s="12" t="n">
        <v>72.3</v>
      </c>
    </row>
    <row r="162">
      <c r="A162" s="12" t="inlineStr">
        <is>
          <t>USR-100161</t>
        </is>
      </c>
      <c r="B162" s="29" t="n">
        <v>45791</v>
      </c>
      <c r="C162" s="12" t="inlineStr">
        <is>
          <t>Control</t>
        </is>
      </c>
      <c r="D162" s="12" t="inlineStr">
        <is>
          <t>North</t>
        </is>
      </c>
      <c r="E162" s="12" t="inlineStr">
        <is>
          <t>Mobile</t>
        </is>
      </c>
      <c r="F162" s="12" t="inlineStr">
        <is>
          <t>Social</t>
        </is>
      </c>
      <c r="G162" s="12" t="inlineStr">
        <is>
          <t>Basic</t>
        </is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/>
      <c r="P162" s="12" t="n">
        <v>42.1</v>
      </c>
    </row>
    <row r="163">
      <c r="A163" s="12" t="inlineStr">
        <is>
          <t>USR-100162</t>
        </is>
      </c>
      <c r="B163" s="29" t="n">
        <v>45689</v>
      </c>
      <c r="C163" s="12" t="inlineStr">
        <is>
          <t>Control</t>
        </is>
      </c>
      <c r="D163" s="12" t="inlineStr">
        <is>
          <t>North</t>
        </is>
      </c>
      <c r="E163" s="12" t="inlineStr">
        <is>
          <t>Mobile</t>
        </is>
      </c>
      <c r="F163" s="12" t="inlineStr">
        <is>
          <t>Organic</t>
        </is>
      </c>
      <c r="G163" s="12" t="inlineStr">
        <is>
          <t>Free</t>
        </is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/>
      <c r="P163" s="12" t="n"/>
    </row>
    <row r="164">
      <c r="A164" s="12" t="inlineStr">
        <is>
          <t>USR-100163</t>
        </is>
      </c>
      <c r="B164" s="29" t="n">
        <v>45758</v>
      </c>
      <c r="C164" s="12" t="inlineStr">
        <is>
          <t>Control</t>
        </is>
      </c>
      <c r="D164" s="12" t="inlineStr">
        <is>
          <t>South</t>
        </is>
      </c>
      <c r="E164" s="12" t="inlineStr">
        <is>
          <t>Mobile</t>
        </is>
      </c>
      <c r="F164" s="12" t="inlineStr">
        <is>
          <t>Organic</t>
        </is>
      </c>
      <c r="G164" s="12" t="inlineStr">
        <is>
          <t>Basic</t>
        </is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1</v>
      </c>
      <c r="N164" s="12" t="n">
        <v>0</v>
      </c>
      <c r="O164" s="12" t="n"/>
      <c r="P164" s="12" t="n">
        <v>64.8</v>
      </c>
    </row>
    <row r="165">
      <c r="A165" s="12" t="inlineStr">
        <is>
          <t>USR-100164</t>
        </is>
      </c>
      <c r="B165" s="29" t="n">
        <v>45702</v>
      </c>
      <c r="C165" s="12" t="inlineStr">
        <is>
          <t>Control</t>
        </is>
      </c>
      <c r="D165" s="12" t="inlineStr">
        <is>
          <t>East</t>
        </is>
      </c>
      <c r="E165" s="12" t="inlineStr">
        <is>
          <t>Mobile</t>
        </is>
      </c>
      <c r="F165" s="12" t="inlineStr">
        <is>
          <t>Organic</t>
        </is>
      </c>
      <c r="G165" s="12" t="inlineStr">
        <is>
          <t>Free</t>
        </is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/>
      <c r="P165" s="12" t="n">
        <v>72.09999999999999</v>
      </c>
    </row>
    <row r="166">
      <c r="A166" s="12" t="inlineStr">
        <is>
          <t>USR-100165</t>
        </is>
      </c>
      <c r="B166" s="29" t="n">
        <v>45796</v>
      </c>
      <c r="C166" s="12" t="inlineStr">
        <is>
          <t>Control</t>
        </is>
      </c>
      <c r="D166" s="12" t="inlineStr">
        <is>
          <t>East</t>
        </is>
      </c>
      <c r="E166" s="12" t="inlineStr">
        <is>
          <t>Mobile</t>
        </is>
      </c>
      <c r="F166" s="12" t="inlineStr">
        <is>
          <t>Social</t>
        </is>
      </c>
      <c r="G166" s="12" t="inlineStr">
        <is>
          <t>Free</t>
        </is>
      </c>
      <c r="H166" s="12" t="n">
        <v>1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/>
      <c r="P166" s="12" t="n">
        <v>50.6</v>
      </c>
    </row>
    <row r="167">
      <c r="A167" s="12" t="inlineStr">
        <is>
          <t>USR-100166</t>
        </is>
      </c>
      <c r="B167" s="29" t="n">
        <v>45773</v>
      </c>
      <c r="C167" s="12" t="inlineStr">
        <is>
          <t>Control</t>
        </is>
      </c>
      <c r="D167" s="12" t="inlineStr">
        <is>
          <t>North</t>
        </is>
      </c>
      <c r="E167" s="12" t="inlineStr">
        <is>
          <t>Desktop</t>
        </is>
      </c>
      <c r="F167" s="12" t="inlineStr">
        <is>
          <t>Paid Search</t>
        </is>
      </c>
      <c r="G167" s="12" t="inlineStr">
        <is>
          <t>Basic</t>
        </is>
      </c>
      <c r="H167" s="12" t="n">
        <v>1</v>
      </c>
      <c r="I167" s="12" t="n">
        <v>1</v>
      </c>
      <c r="J167" s="12" t="n">
        <v>1</v>
      </c>
      <c r="K167" s="12" t="n">
        <v>1</v>
      </c>
      <c r="L167" s="12" t="n">
        <v>1281.25</v>
      </c>
      <c r="M167" s="12" t="n">
        <v>1</v>
      </c>
      <c r="N167" s="12" t="n">
        <v>0</v>
      </c>
      <c r="O167" s="12" t="n">
        <v>9</v>
      </c>
      <c r="P167" s="12" t="n">
        <v>43.4</v>
      </c>
    </row>
    <row r="168">
      <c r="A168" s="12" t="inlineStr">
        <is>
          <t>USR-100167</t>
        </is>
      </c>
      <c r="B168" s="29" t="n">
        <v>45753</v>
      </c>
      <c r="C168" s="12" t="inlineStr">
        <is>
          <t>Control</t>
        </is>
      </c>
      <c r="D168" s="12" t="inlineStr">
        <is>
          <t>South</t>
        </is>
      </c>
      <c r="E168" s="12" t="inlineStr">
        <is>
          <t>Mobile</t>
        </is>
      </c>
      <c r="F168" s="12" t="inlineStr">
        <is>
          <t>Social</t>
        </is>
      </c>
      <c r="G168" s="12" t="inlineStr">
        <is>
          <t>Free</t>
        </is>
      </c>
      <c r="H168" s="12" t="n">
        <v>1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/>
      <c r="P168" s="12" t="n">
        <v>59.7</v>
      </c>
    </row>
    <row r="169">
      <c r="A169" s="12" t="inlineStr">
        <is>
          <t>USR-100168</t>
        </is>
      </c>
      <c r="B169" s="29" t="n">
        <v>45722</v>
      </c>
      <c r="C169" s="12" t="inlineStr">
        <is>
          <t>Control</t>
        </is>
      </c>
      <c r="D169" s="12" t="inlineStr">
        <is>
          <t>South</t>
        </is>
      </c>
      <c r="E169" s="12" t="inlineStr">
        <is>
          <t>Mobile</t>
        </is>
      </c>
      <c r="F169" s="12" t="inlineStr">
        <is>
          <t>Paid Search</t>
        </is>
      </c>
      <c r="G169" s="12" t="inlineStr">
        <is>
          <t>Free</t>
        </is>
      </c>
      <c r="H169" s="12" t="n">
        <v>1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1</v>
      </c>
      <c r="N169" s="12" t="n">
        <v>0</v>
      </c>
      <c r="O169" s="12" t="n"/>
      <c r="P169" s="12" t="n"/>
    </row>
    <row r="170">
      <c r="A170" s="12" t="inlineStr">
        <is>
          <t>USR-100169</t>
        </is>
      </c>
      <c r="B170" s="29" t="n">
        <v>45726</v>
      </c>
      <c r="C170" s="12" t="inlineStr">
        <is>
          <t>Control</t>
        </is>
      </c>
      <c r="D170" s="12" t="inlineStr">
        <is>
          <t>West</t>
        </is>
      </c>
      <c r="E170" s="12" t="inlineStr">
        <is>
          <t>Mobile</t>
        </is>
      </c>
      <c r="F170" s="12" t="inlineStr">
        <is>
          <t>Social</t>
        </is>
      </c>
      <c r="G170" s="12" t="inlineStr">
        <is>
          <t>Basic</t>
        </is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/>
      <c r="P170" s="12" t="n">
        <v>54.5</v>
      </c>
    </row>
    <row r="171">
      <c r="A171" s="12" t="inlineStr">
        <is>
          <t>USR-100170</t>
        </is>
      </c>
      <c r="B171" s="29" t="n">
        <v>45746</v>
      </c>
      <c r="C171" s="12" t="inlineStr">
        <is>
          <t>Control</t>
        </is>
      </c>
      <c r="D171" s="12" t="inlineStr">
        <is>
          <t>North</t>
        </is>
      </c>
      <c r="E171" s="12" t="inlineStr">
        <is>
          <t>Mobile</t>
        </is>
      </c>
      <c r="F171" s="12" t="inlineStr">
        <is>
          <t>Organic</t>
        </is>
      </c>
      <c r="G171" s="12" t="inlineStr">
        <is>
          <t>Free</t>
        </is>
      </c>
      <c r="H171" s="12" t="n">
        <v>1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/>
      <c r="P171" s="12" t="n">
        <v>71.09999999999999</v>
      </c>
    </row>
    <row r="172">
      <c r="A172" s="12" t="inlineStr">
        <is>
          <t>USR-100171</t>
        </is>
      </c>
      <c r="B172" s="29" t="n">
        <v>45806</v>
      </c>
      <c r="C172" s="12" t="inlineStr">
        <is>
          <t>Control</t>
        </is>
      </c>
      <c r="D172" s="12" t="inlineStr">
        <is>
          <t>East</t>
        </is>
      </c>
      <c r="E172" s="12" t="n"/>
      <c r="F172" s="12" t="inlineStr">
        <is>
          <t>Paid Search</t>
        </is>
      </c>
      <c r="G172" s="12" t="inlineStr">
        <is>
          <t>Free</t>
        </is>
      </c>
      <c r="H172" s="12" t="n">
        <v>1</v>
      </c>
      <c r="I172" s="12" t="n">
        <v>1</v>
      </c>
      <c r="J172" s="12" t="n">
        <v>1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/>
      <c r="P172" s="12" t="n">
        <v>44.4</v>
      </c>
    </row>
    <row r="173">
      <c r="A173" s="12" t="inlineStr">
        <is>
          <t>USR-100172</t>
        </is>
      </c>
      <c r="B173" s="29" t="n">
        <v>45739</v>
      </c>
      <c r="C173" s="12" t="inlineStr">
        <is>
          <t>Control</t>
        </is>
      </c>
      <c r="D173" s="12" t="inlineStr">
        <is>
          <t>North</t>
        </is>
      </c>
      <c r="E173" s="12" t="inlineStr">
        <is>
          <t>Mobile</t>
        </is>
      </c>
      <c r="F173" s="12" t="inlineStr">
        <is>
          <t>Organic</t>
        </is>
      </c>
      <c r="G173" s="12" t="inlineStr">
        <is>
          <t>Free</t>
        </is>
      </c>
      <c r="H173" s="12" t="n">
        <v>1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/>
      <c r="P173" s="12" t="n">
        <v>61.7</v>
      </c>
    </row>
    <row r="174">
      <c r="A174" s="12" t="inlineStr">
        <is>
          <t>USR-100173</t>
        </is>
      </c>
      <c r="B174" s="29" t="n">
        <v>45706</v>
      </c>
      <c r="C174" s="12" t="inlineStr">
        <is>
          <t>Control</t>
        </is>
      </c>
      <c r="D174" s="12" t="inlineStr">
        <is>
          <t>North</t>
        </is>
      </c>
      <c r="E174" s="12" t="inlineStr">
        <is>
          <t>Tablet</t>
        </is>
      </c>
      <c r="F174" s="12" t="inlineStr">
        <is>
          <t>Organic</t>
        </is>
      </c>
      <c r="G174" s="12" t="inlineStr">
        <is>
          <t>Basic</t>
        </is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1</v>
      </c>
      <c r="N174" s="12" t="n">
        <v>0</v>
      </c>
      <c r="O174" s="12" t="n"/>
      <c r="P174" s="12" t="n">
        <v>81.3</v>
      </c>
    </row>
    <row r="175">
      <c r="A175" s="12" t="inlineStr">
        <is>
          <t>USR-100174</t>
        </is>
      </c>
      <c r="B175" s="29" t="n">
        <v>45683</v>
      </c>
      <c r="C175" s="12" t="inlineStr">
        <is>
          <t>Control</t>
        </is>
      </c>
      <c r="D175" s="12" t="inlineStr">
        <is>
          <t>North</t>
        </is>
      </c>
      <c r="E175" s="12" t="inlineStr">
        <is>
          <t>Desktop</t>
        </is>
      </c>
      <c r="F175" s="12" t="inlineStr">
        <is>
          <t>Email</t>
        </is>
      </c>
      <c r="G175" s="12" t="inlineStr">
        <is>
          <t>Free</t>
        </is>
      </c>
      <c r="H175" s="12" t="n">
        <v>1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2</v>
      </c>
      <c r="N175" s="12" t="n">
        <v>0</v>
      </c>
      <c r="O175" s="12" t="n"/>
      <c r="P175" s="12" t="n">
        <v>28.7</v>
      </c>
    </row>
    <row r="176">
      <c r="A176" s="12" t="inlineStr">
        <is>
          <t>USR-100175</t>
        </is>
      </c>
      <c r="B176" s="29" t="n">
        <v>45770</v>
      </c>
      <c r="C176" s="12" t="inlineStr">
        <is>
          <t>Control</t>
        </is>
      </c>
      <c r="D176" s="12" t="inlineStr">
        <is>
          <t>East</t>
        </is>
      </c>
      <c r="E176" s="12" t="inlineStr">
        <is>
          <t>Mobile</t>
        </is>
      </c>
      <c r="F176" s="12" t="inlineStr">
        <is>
          <t>Social</t>
        </is>
      </c>
      <c r="G176" s="12" t="inlineStr">
        <is>
          <t>Basic</t>
        </is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/>
      <c r="P176" s="12" t="n">
        <v>53</v>
      </c>
    </row>
    <row r="177">
      <c r="A177" s="12" t="inlineStr">
        <is>
          <t>USR-100176</t>
        </is>
      </c>
      <c r="B177" s="29" t="n">
        <v>45732</v>
      </c>
      <c r="C177" s="12" t="inlineStr">
        <is>
          <t>Control</t>
        </is>
      </c>
      <c r="D177" s="12" t="inlineStr">
        <is>
          <t>South</t>
        </is>
      </c>
      <c r="E177" s="12" t="inlineStr">
        <is>
          <t>Tablet</t>
        </is>
      </c>
      <c r="F177" s="12" t="inlineStr">
        <is>
          <t>Referral</t>
        </is>
      </c>
      <c r="G177" s="12" t="inlineStr">
        <is>
          <t>Basic</t>
        </is>
      </c>
      <c r="H177" s="12" t="n">
        <v>1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/>
      <c r="P177" s="12" t="n">
        <v>54.9</v>
      </c>
    </row>
    <row r="178">
      <c r="A178" s="12" t="inlineStr">
        <is>
          <t>USR-100177</t>
        </is>
      </c>
      <c r="B178" s="29" t="n">
        <v>45776</v>
      </c>
      <c r="C178" s="12" t="inlineStr">
        <is>
          <t>Control</t>
        </is>
      </c>
      <c r="D178" s="12" t="inlineStr">
        <is>
          <t>West</t>
        </is>
      </c>
      <c r="E178" s="12" t="inlineStr">
        <is>
          <t>Mobile</t>
        </is>
      </c>
      <c r="F178" s="12" t="inlineStr">
        <is>
          <t>Organic</t>
        </is>
      </c>
      <c r="G178" s="12" t="inlineStr">
        <is>
          <t>Basic</t>
        </is>
      </c>
      <c r="H178" s="12" t="n">
        <v>1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/>
      <c r="P178" s="12" t="n">
        <v>58.2</v>
      </c>
    </row>
    <row r="179">
      <c r="A179" s="12" t="inlineStr">
        <is>
          <t>USR-100178</t>
        </is>
      </c>
      <c r="B179" s="29" t="n">
        <v>45753</v>
      </c>
      <c r="C179" s="12" t="inlineStr">
        <is>
          <t>Control</t>
        </is>
      </c>
      <c r="D179" s="12" t="inlineStr">
        <is>
          <t>North</t>
        </is>
      </c>
      <c r="E179" s="12" t="inlineStr">
        <is>
          <t>Mobile</t>
        </is>
      </c>
      <c r="F179" s="12" t="inlineStr">
        <is>
          <t>Organic</t>
        </is>
      </c>
      <c r="G179" s="12" t="inlineStr">
        <is>
          <t>Free</t>
        </is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/>
      <c r="P179" s="12" t="n">
        <v>80.59999999999999</v>
      </c>
    </row>
    <row r="180">
      <c r="A180" s="12" t="inlineStr">
        <is>
          <t>USR-100179</t>
        </is>
      </c>
      <c r="B180" s="29" t="n">
        <v>45764</v>
      </c>
      <c r="C180" s="12" t="inlineStr">
        <is>
          <t>Control</t>
        </is>
      </c>
      <c r="D180" s="12" t="inlineStr">
        <is>
          <t>North</t>
        </is>
      </c>
      <c r="E180" s="12" t="inlineStr">
        <is>
          <t>Desktop</t>
        </is>
      </c>
      <c r="F180" s="12" t="inlineStr">
        <is>
          <t>Referral</t>
        </is>
      </c>
      <c r="G180" s="12" t="inlineStr">
        <is>
          <t>Premium</t>
        </is>
      </c>
      <c r="H180" s="12" t="n">
        <v>1</v>
      </c>
      <c r="I180" s="12" t="n">
        <v>1</v>
      </c>
      <c r="J180" s="12" t="n">
        <v>1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/>
      <c r="P180" s="12" t="n">
        <v>38.4</v>
      </c>
    </row>
    <row r="181">
      <c r="A181" s="12" t="inlineStr">
        <is>
          <t>USR-100180</t>
        </is>
      </c>
      <c r="B181" s="29" t="n">
        <v>45750</v>
      </c>
      <c r="C181" s="12" t="inlineStr">
        <is>
          <t>Control</t>
        </is>
      </c>
      <c r="D181" s="12" t="inlineStr">
        <is>
          <t>South</t>
        </is>
      </c>
      <c r="E181" s="12" t="inlineStr">
        <is>
          <t>Mobile</t>
        </is>
      </c>
      <c r="F181" s="12" t="inlineStr">
        <is>
          <t>Paid Search</t>
        </is>
      </c>
      <c r="G181" s="12" t="inlineStr">
        <is>
          <t>Free</t>
        </is>
      </c>
      <c r="H181" s="12" t="n">
        <v>1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/>
      <c r="P181" s="12" t="n">
        <v>56.1</v>
      </c>
    </row>
    <row r="182">
      <c r="A182" s="12" t="inlineStr">
        <is>
          <t>USR-100181</t>
        </is>
      </c>
      <c r="B182" s="29" t="n">
        <v>45772</v>
      </c>
      <c r="C182" s="12" t="inlineStr">
        <is>
          <t>Control</t>
        </is>
      </c>
      <c r="D182" s="12" t="inlineStr">
        <is>
          <t>West</t>
        </is>
      </c>
      <c r="E182" s="12" t="inlineStr">
        <is>
          <t>Mobile</t>
        </is>
      </c>
      <c r="F182" s="12" t="inlineStr">
        <is>
          <t>Paid Search</t>
        </is>
      </c>
      <c r="G182" s="12" t="inlineStr">
        <is>
          <t>Free</t>
        </is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/>
      <c r="P182" s="12" t="n">
        <v>62.6</v>
      </c>
    </row>
    <row r="183">
      <c r="A183" s="12" t="inlineStr">
        <is>
          <t>USR-100182</t>
        </is>
      </c>
      <c r="B183" s="29" t="n">
        <v>45777</v>
      </c>
      <c r="C183" s="12" t="inlineStr">
        <is>
          <t>Control</t>
        </is>
      </c>
      <c r="D183" s="12" t="inlineStr">
        <is>
          <t>South</t>
        </is>
      </c>
      <c r="E183" s="12" t="inlineStr">
        <is>
          <t>Mobile</t>
        </is>
      </c>
      <c r="F183" s="12" t="inlineStr">
        <is>
          <t>Organic</t>
        </is>
      </c>
      <c r="G183" s="12" t="inlineStr">
        <is>
          <t>Premium</t>
        </is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/>
      <c r="P183" s="12" t="n">
        <v>36.3</v>
      </c>
    </row>
    <row r="184">
      <c r="A184" s="12" t="inlineStr">
        <is>
          <t>USR-100183</t>
        </is>
      </c>
      <c r="B184" s="29" t="n">
        <v>45728</v>
      </c>
      <c r="C184" s="12" t="inlineStr">
        <is>
          <t>Control</t>
        </is>
      </c>
      <c r="D184" s="12" t="inlineStr">
        <is>
          <t>South</t>
        </is>
      </c>
      <c r="E184" s="12" t="inlineStr">
        <is>
          <t>Mobile</t>
        </is>
      </c>
      <c r="F184" s="12" t="inlineStr">
        <is>
          <t>Paid Search</t>
        </is>
      </c>
      <c r="G184" s="12" t="inlineStr">
        <is>
          <t>Free</t>
        </is>
      </c>
      <c r="H184" s="12" t="n">
        <v>1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/>
      <c r="P184" s="12" t="n">
        <v>52.1</v>
      </c>
    </row>
    <row r="185">
      <c r="A185" s="12" t="inlineStr">
        <is>
          <t>USR-100184</t>
        </is>
      </c>
      <c r="B185" s="29" t="n">
        <v>45781</v>
      </c>
      <c r="C185" s="12" t="inlineStr">
        <is>
          <t>Control</t>
        </is>
      </c>
      <c r="D185" s="12" t="inlineStr">
        <is>
          <t>South</t>
        </is>
      </c>
      <c r="E185" s="12" t="inlineStr">
        <is>
          <t>Mobile</t>
        </is>
      </c>
      <c r="F185" s="12" t="inlineStr">
        <is>
          <t>Organic</t>
        </is>
      </c>
      <c r="G185" s="12" t="inlineStr">
        <is>
          <t>Free</t>
        </is>
      </c>
      <c r="H185" s="12" t="n">
        <v>1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/>
      <c r="P185" s="12" t="n">
        <v>45.1</v>
      </c>
    </row>
    <row r="186">
      <c r="A186" s="12" t="inlineStr">
        <is>
          <t>USR-100185</t>
        </is>
      </c>
      <c r="B186" s="29" t="n">
        <v>45695</v>
      </c>
      <c r="C186" s="12" t="inlineStr">
        <is>
          <t>Control</t>
        </is>
      </c>
      <c r="D186" s="12" t="inlineStr">
        <is>
          <t>South</t>
        </is>
      </c>
      <c r="E186" s="12" t="inlineStr">
        <is>
          <t>Tablet</t>
        </is>
      </c>
      <c r="F186" s="12" t="inlineStr">
        <is>
          <t>Paid Search</t>
        </is>
      </c>
      <c r="G186" s="12" t="inlineStr">
        <is>
          <t>Premium</t>
        </is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/>
      <c r="P186" s="12" t="n">
        <v>67.5</v>
      </c>
    </row>
    <row r="187">
      <c r="A187" s="12" t="inlineStr">
        <is>
          <t>USR-100186</t>
        </is>
      </c>
      <c r="B187" s="29" t="n">
        <v>45775</v>
      </c>
      <c r="C187" s="12" t="inlineStr">
        <is>
          <t>Control</t>
        </is>
      </c>
      <c r="D187" s="12" t="inlineStr">
        <is>
          <t>East</t>
        </is>
      </c>
      <c r="E187" s="12" t="inlineStr">
        <is>
          <t>Tablet</t>
        </is>
      </c>
      <c r="F187" s="12" t="inlineStr">
        <is>
          <t>Email</t>
        </is>
      </c>
      <c r="G187" s="12" t="inlineStr">
        <is>
          <t>Basic</t>
        </is>
      </c>
      <c r="H187" s="12" t="n">
        <v>1</v>
      </c>
      <c r="I187" s="12" t="n">
        <v>1</v>
      </c>
      <c r="J187" s="12" t="n">
        <v>1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/>
      <c r="P187" s="12" t="n">
        <v>80</v>
      </c>
    </row>
    <row r="188">
      <c r="A188" s="12" t="inlineStr">
        <is>
          <t>USR-100187</t>
        </is>
      </c>
      <c r="B188" s="29" t="n">
        <v>45792</v>
      </c>
      <c r="C188" s="12" t="inlineStr">
        <is>
          <t>Control</t>
        </is>
      </c>
      <c r="D188" s="12" t="inlineStr">
        <is>
          <t>East</t>
        </is>
      </c>
      <c r="E188" s="12" t="inlineStr">
        <is>
          <t>Desktop</t>
        </is>
      </c>
      <c r="F188" s="12" t="inlineStr">
        <is>
          <t>Referral</t>
        </is>
      </c>
      <c r="G188" s="12" t="inlineStr">
        <is>
          <t>Free</t>
        </is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/>
      <c r="P188" s="12" t="n">
        <v>56.4</v>
      </c>
    </row>
    <row r="189">
      <c r="A189" s="12" t="inlineStr">
        <is>
          <t>USR-100188</t>
        </is>
      </c>
      <c r="B189" s="29" t="n">
        <v>45675</v>
      </c>
      <c r="C189" s="12" t="inlineStr">
        <is>
          <t>Control</t>
        </is>
      </c>
      <c r="D189" s="12" t="inlineStr">
        <is>
          <t>West</t>
        </is>
      </c>
      <c r="E189" s="12" t="inlineStr">
        <is>
          <t>Mobile</t>
        </is>
      </c>
      <c r="F189" s="12" t="inlineStr">
        <is>
          <t>Paid Search</t>
        </is>
      </c>
      <c r="G189" s="12" t="inlineStr">
        <is>
          <t>Basic</t>
        </is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/>
      <c r="P189" s="12" t="n">
        <v>55.4</v>
      </c>
    </row>
    <row r="190">
      <c r="A190" s="12" t="inlineStr">
        <is>
          <t>USR-100189</t>
        </is>
      </c>
      <c r="B190" s="29" t="n">
        <v>45703</v>
      </c>
      <c r="C190" s="12" t="inlineStr">
        <is>
          <t>Control</t>
        </is>
      </c>
      <c r="D190" s="12" t="inlineStr">
        <is>
          <t>South</t>
        </is>
      </c>
      <c r="E190" s="12" t="inlineStr">
        <is>
          <t>Mobile</t>
        </is>
      </c>
      <c r="F190" s="12" t="inlineStr">
        <is>
          <t>Social</t>
        </is>
      </c>
      <c r="G190" s="12" t="inlineStr">
        <is>
          <t>Basic</t>
        </is>
      </c>
      <c r="H190" s="12" t="n">
        <v>1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/>
      <c r="P190" s="12" t="n">
        <v>67.90000000000001</v>
      </c>
    </row>
    <row r="191">
      <c r="A191" s="12" t="inlineStr">
        <is>
          <t>USR-100190</t>
        </is>
      </c>
      <c r="B191" s="29" t="n">
        <v>45706</v>
      </c>
      <c r="C191" s="12" t="inlineStr">
        <is>
          <t>Control</t>
        </is>
      </c>
      <c r="D191" s="12" t="inlineStr">
        <is>
          <t>North</t>
        </is>
      </c>
      <c r="E191" s="12" t="inlineStr">
        <is>
          <t>Tablet</t>
        </is>
      </c>
      <c r="F191" s="12" t="inlineStr">
        <is>
          <t>Email</t>
        </is>
      </c>
      <c r="G191" s="12" t="inlineStr">
        <is>
          <t>Free</t>
        </is>
      </c>
      <c r="H191" s="12" t="n">
        <v>1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/>
      <c r="P191" s="12" t="n">
        <v>62.5</v>
      </c>
    </row>
    <row r="192">
      <c r="A192" s="12" t="inlineStr">
        <is>
          <t>USR-100191</t>
        </is>
      </c>
      <c r="B192" s="29" t="n">
        <v>45687</v>
      </c>
      <c r="C192" s="12" t="inlineStr">
        <is>
          <t>Control</t>
        </is>
      </c>
      <c r="D192" s="12" t="inlineStr">
        <is>
          <t>South</t>
        </is>
      </c>
      <c r="E192" s="12" t="inlineStr">
        <is>
          <t>Desktop</t>
        </is>
      </c>
      <c r="F192" s="12" t="inlineStr">
        <is>
          <t>Email</t>
        </is>
      </c>
      <c r="G192" s="12" t="inlineStr">
        <is>
          <t>Basic</t>
        </is>
      </c>
      <c r="H192" s="12" t="n">
        <v>1</v>
      </c>
      <c r="I192" s="12" t="n">
        <v>1</v>
      </c>
      <c r="J192" s="12" t="n">
        <v>1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/>
      <c r="P192" s="12" t="n">
        <v>54.3</v>
      </c>
    </row>
    <row r="193">
      <c r="A193" s="12" t="inlineStr">
        <is>
          <t>USR-100192</t>
        </is>
      </c>
      <c r="B193" s="29" t="n">
        <v>45697</v>
      </c>
      <c r="C193" s="12" t="inlineStr">
        <is>
          <t>Control</t>
        </is>
      </c>
      <c r="D193" s="12" t="inlineStr">
        <is>
          <t>South</t>
        </is>
      </c>
      <c r="E193" s="12" t="inlineStr">
        <is>
          <t>Desktop</t>
        </is>
      </c>
      <c r="F193" s="12" t="inlineStr">
        <is>
          <t>Organic</t>
        </is>
      </c>
      <c r="G193" s="12" t="inlineStr">
        <is>
          <t>Basic</t>
        </is>
      </c>
      <c r="H193" s="12" t="n">
        <v>1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/>
      <c r="P193" s="12" t="n">
        <v>37.5</v>
      </c>
    </row>
    <row r="194">
      <c r="A194" s="12" t="inlineStr">
        <is>
          <t>USR-100193</t>
        </is>
      </c>
      <c r="B194" s="29" t="n">
        <v>45732</v>
      </c>
      <c r="C194" s="12" t="inlineStr">
        <is>
          <t>Control</t>
        </is>
      </c>
      <c r="D194" s="12" t="inlineStr">
        <is>
          <t>West</t>
        </is>
      </c>
      <c r="E194" s="12" t="inlineStr">
        <is>
          <t>Mobile</t>
        </is>
      </c>
      <c r="F194" s="12" t="inlineStr">
        <is>
          <t>Paid Search</t>
        </is>
      </c>
      <c r="G194" s="12" t="inlineStr">
        <is>
          <t>Basic</t>
        </is>
      </c>
      <c r="H194" s="12" t="n">
        <v>1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/>
      <c r="P194" s="12" t="n">
        <v>52.6</v>
      </c>
    </row>
    <row r="195">
      <c r="A195" s="12" t="inlineStr">
        <is>
          <t>USR-100194</t>
        </is>
      </c>
      <c r="B195" s="29" t="n">
        <v>45796</v>
      </c>
      <c r="C195" s="12" t="inlineStr">
        <is>
          <t>Control</t>
        </is>
      </c>
      <c r="D195" s="12" t="inlineStr">
        <is>
          <t>North</t>
        </is>
      </c>
      <c r="E195" s="12" t="inlineStr">
        <is>
          <t>Mobile</t>
        </is>
      </c>
      <c r="F195" s="12" t="inlineStr">
        <is>
          <t>Paid Search</t>
        </is>
      </c>
      <c r="G195" s="12" t="inlineStr">
        <is>
          <t>Free</t>
        </is>
      </c>
      <c r="H195" s="12" t="n">
        <v>1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/>
      <c r="P195" s="12" t="n">
        <v>46.1</v>
      </c>
    </row>
    <row r="196">
      <c r="A196" s="12" t="inlineStr">
        <is>
          <t>USR-100195</t>
        </is>
      </c>
      <c r="B196" s="29" t="n">
        <v>45793</v>
      </c>
      <c r="C196" s="12" t="inlineStr">
        <is>
          <t>Control</t>
        </is>
      </c>
      <c r="D196" s="12" t="inlineStr">
        <is>
          <t>South</t>
        </is>
      </c>
      <c r="E196" s="12" t="inlineStr">
        <is>
          <t>Desktop</t>
        </is>
      </c>
      <c r="F196" s="12" t="inlineStr">
        <is>
          <t>Organic</t>
        </is>
      </c>
      <c r="G196" s="12" t="inlineStr">
        <is>
          <t>Basic</t>
        </is>
      </c>
      <c r="H196" s="12" t="n">
        <v>1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/>
      <c r="P196" s="12" t="n">
        <v>54.7</v>
      </c>
    </row>
    <row r="197">
      <c r="A197" s="12" t="inlineStr">
        <is>
          <t>USR-100196</t>
        </is>
      </c>
      <c r="B197" s="29" t="n">
        <v>45772</v>
      </c>
      <c r="C197" s="12" t="inlineStr">
        <is>
          <t>Control</t>
        </is>
      </c>
      <c r="D197" s="12" t="inlineStr">
        <is>
          <t>West</t>
        </is>
      </c>
      <c r="E197" s="12" t="inlineStr">
        <is>
          <t>Desktop</t>
        </is>
      </c>
      <c r="F197" s="12" t="inlineStr">
        <is>
          <t>Referral</t>
        </is>
      </c>
      <c r="G197" s="12" t="inlineStr">
        <is>
          <t>Basic</t>
        </is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/>
      <c r="P197" s="12" t="n">
        <v>74.2</v>
      </c>
    </row>
    <row r="198">
      <c r="A198" s="12" t="inlineStr">
        <is>
          <t>USR-100197</t>
        </is>
      </c>
      <c r="B198" s="29" t="n">
        <v>45715</v>
      </c>
      <c r="C198" s="12" t="inlineStr">
        <is>
          <t>Control</t>
        </is>
      </c>
      <c r="D198" s="12" t="inlineStr">
        <is>
          <t>North</t>
        </is>
      </c>
      <c r="E198" s="12" t="inlineStr">
        <is>
          <t>Mobile</t>
        </is>
      </c>
      <c r="F198" s="12" t="inlineStr">
        <is>
          <t>Social</t>
        </is>
      </c>
      <c r="G198" s="12" t="inlineStr">
        <is>
          <t>Basic</t>
        </is>
      </c>
      <c r="H198" s="12" t="n">
        <v>1</v>
      </c>
      <c r="I198" s="12" t="n">
        <v>1</v>
      </c>
      <c r="J198" s="12" t="n">
        <v>1</v>
      </c>
      <c r="K198" s="12" t="n">
        <v>1</v>
      </c>
      <c r="L198" s="12" t="n">
        <v>1052.8</v>
      </c>
      <c r="M198" s="12" t="n">
        <v>2</v>
      </c>
      <c r="N198" s="12" t="n">
        <v>0</v>
      </c>
      <c r="O198" s="12" t="n">
        <v>6</v>
      </c>
      <c r="P198" s="12" t="n">
        <v>64.7</v>
      </c>
    </row>
    <row r="199">
      <c r="A199" s="12" t="inlineStr">
        <is>
          <t>USR-100198</t>
        </is>
      </c>
      <c r="B199" s="29" t="n">
        <v>45773</v>
      </c>
      <c r="C199" s="12" t="inlineStr">
        <is>
          <t>Control</t>
        </is>
      </c>
      <c r="D199" s="12" t="inlineStr">
        <is>
          <t>South</t>
        </is>
      </c>
      <c r="E199" s="12" t="inlineStr">
        <is>
          <t>Mobile</t>
        </is>
      </c>
      <c r="F199" s="12" t="inlineStr">
        <is>
          <t>Paid Search</t>
        </is>
      </c>
      <c r="G199" s="12" t="inlineStr">
        <is>
          <t>Basic</t>
        </is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/>
      <c r="P199" s="12" t="n">
        <v>65.90000000000001</v>
      </c>
    </row>
    <row r="200">
      <c r="A200" s="12" t="inlineStr">
        <is>
          <t>USR-100199</t>
        </is>
      </c>
      <c r="B200" s="29" t="n">
        <v>45791</v>
      </c>
      <c r="C200" s="12" t="inlineStr">
        <is>
          <t>Control</t>
        </is>
      </c>
      <c r="D200" s="12" t="inlineStr">
        <is>
          <t>North</t>
        </is>
      </c>
      <c r="E200" s="12" t="inlineStr">
        <is>
          <t>Mobile</t>
        </is>
      </c>
      <c r="F200" s="12" t="inlineStr">
        <is>
          <t>Organic</t>
        </is>
      </c>
      <c r="G200" s="12" t="inlineStr">
        <is>
          <t>Basic</t>
        </is>
      </c>
      <c r="H200" s="12" t="n">
        <v>1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/>
      <c r="P200" s="12" t="n">
        <v>64</v>
      </c>
    </row>
    <row r="201">
      <c r="A201" s="12" t="inlineStr">
        <is>
          <t>USR-100200</t>
        </is>
      </c>
      <c r="B201" s="29" t="n">
        <v>45721</v>
      </c>
      <c r="C201" s="12" t="inlineStr">
        <is>
          <t>Control</t>
        </is>
      </c>
      <c r="D201" s="12" t="inlineStr">
        <is>
          <t>North</t>
        </is>
      </c>
      <c r="E201" s="12" t="inlineStr">
        <is>
          <t>Mobile</t>
        </is>
      </c>
      <c r="F201" s="12" t="inlineStr">
        <is>
          <t>Organic</t>
        </is>
      </c>
      <c r="G201" s="12" t="inlineStr">
        <is>
          <t>Premium</t>
        </is>
      </c>
      <c r="H201" s="12" t="n">
        <v>1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/>
      <c r="P201" s="12" t="n">
        <v>57.2</v>
      </c>
    </row>
    <row r="202">
      <c r="A202" s="12" t="inlineStr">
        <is>
          <t>USR-100201</t>
        </is>
      </c>
      <c r="B202" s="29" t="n">
        <v>45749</v>
      </c>
      <c r="C202" s="12" t="inlineStr">
        <is>
          <t>Control</t>
        </is>
      </c>
      <c r="D202" s="12" t="inlineStr">
        <is>
          <t>West</t>
        </is>
      </c>
      <c r="E202" s="12" t="inlineStr">
        <is>
          <t>Desktop</t>
        </is>
      </c>
      <c r="F202" s="12" t="inlineStr">
        <is>
          <t>Organic</t>
        </is>
      </c>
      <c r="G202" s="12" t="inlineStr">
        <is>
          <t>Free</t>
        </is>
      </c>
      <c r="H202" s="12" t="n">
        <v>1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/>
      <c r="P202" s="12" t="n">
        <v>80.5</v>
      </c>
    </row>
    <row r="203">
      <c r="A203" s="12" t="inlineStr">
        <is>
          <t>USR-100202</t>
        </is>
      </c>
      <c r="B203" s="29" t="n">
        <v>45791</v>
      </c>
      <c r="C203" s="12" t="inlineStr">
        <is>
          <t>Control</t>
        </is>
      </c>
      <c r="D203" s="12" t="inlineStr">
        <is>
          <t>South</t>
        </is>
      </c>
      <c r="E203" s="12" t="inlineStr">
        <is>
          <t>Tablet</t>
        </is>
      </c>
      <c r="F203" s="12" t="inlineStr">
        <is>
          <t>Organic</t>
        </is>
      </c>
      <c r="G203" s="12" t="inlineStr">
        <is>
          <t>Free</t>
        </is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/>
      <c r="P203" s="12" t="n">
        <v>53.9</v>
      </c>
    </row>
    <row r="204">
      <c r="A204" s="12" t="inlineStr">
        <is>
          <t>USR-100203</t>
        </is>
      </c>
      <c r="B204" s="29" t="n">
        <v>45798</v>
      </c>
      <c r="C204" s="12" t="inlineStr">
        <is>
          <t>Control</t>
        </is>
      </c>
      <c r="D204" s="12" t="inlineStr">
        <is>
          <t>North</t>
        </is>
      </c>
      <c r="E204" s="12" t="inlineStr">
        <is>
          <t>Mobile</t>
        </is>
      </c>
      <c r="F204" s="12" t="inlineStr">
        <is>
          <t>Paid Search</t>
        </is>
      </c>
      <c r="G204" s="12" t="inlineStr">
        <is>
          <t>Free</t>
        </is>
      </c>
      <c r="H204" s="12" t="n">
        <v>1</v>
      </c>
      <c r="I204" s="12" t="n">
        <v>1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/>
      <c r="P204" s="12" t="n">
        <v>77.5</v>
      </c>
    </row>
    <row r="205">
      <c r="A205" s="12" t="inlineStr">
        <is>
          <t>USR-100204</t>
        </is>
      </c>
      <c r="B205" s="29" t="n">
        <v>45684</v>
      </c>
      <c r="C205" s="12" t="inlineStr">
        <is>
          <t>Control</t>
        </is>
      </c>
      <c r="D205" s="12" t="inlineStr">
        <is>
          <t>East</t>
        </is>
      </c>
      <c r="E205" s="12" t="inlineStr">
        <is>
          <t>Mobile</t>
        </is>
      </c>
      <c r="F205" s="12" t="inlineStr">
        <is>
          <t>Social</t>
        </is>
      </c>
      <c r="G205" s="12" t="inlineStr">
        <is>
          <t>Basic</t>
        </is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/>
      <c r="P205" s="12" t="n">
        <v>84.2</v>
      </c>
    </row>
    <row r="206">
      <c r="A206" s="12" t="inlineStr">
        <is>
          <t>USR-100205</t>
        </is>
      </c>
      <c r="B206" s="29" t="n">
        <v>45799</v>
      </c>
      <c r="C206" s="12" t="inlineStr">
        <is>
          <t>Control</t>
        </is>
      </c>
      <c r="D206" s="12" t="inlineStr">
        <is>
          <t>West</t>
        </is>
      </c>
      <c r="E206" s="12" t="inlineStr">
        <is>
          <t>Desktop</t>
        </is>
      </c>
      <c r="F206" s="12" t="inlineStr">
        <is>
          <t>Organic</t>
        </is>
      </c>
      <c r="G206" s="12" t="inlineStr">
        <is>
          <t>Free</t>
        </is>
      </c>
      <c r="H206" s="12" t="n">
        <v>1</v>
      </c>
      <c r="I206" s="12" t="n">
        <v>1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/>
      <c r="P206" s="12" t="n">
        <v>54.9</v>
      </c>
    </row>
    <row r="207">
      <c r="A207" s="12" t="inlineStr">
        <is>
          <t>USR-100206</t>
        </is>
      </c>
      <c r="B207" s="29" t="n">
        <v>45796</v>
      </c>
      <c r="C207" s="12" t="inlineStr">
        <is>
          <t>Control</t>
        </is>
      </c>
      <c r="D207" s="12" t="inlineStr">
        <is>
          <t>South</t>
        </is>
      </c>
      <c r="E207" s="12" t="inlineStr">
        <is>
          <t>Mobile</t>
        </is>
      </c>
      <c r="F207" s="12" t="inlineStr">
        <is>
          <t>Paid Search</t>
        </is>
      </c>
      <c r="G207" s="12" t="inlineStr">
        <is>
          <t>Free</t>
        </is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/>
      <c r="P207" s="12" t="n">
        <v>69.3</v>
      </c>
    </row>
    <row r="208">
      <c r="A208" s="12" t="inlineStr">
        <is>
          <t>USR-100207</t>
        </is>
      </c>
      <c r="B208" s="29" t="n">
        <v>45671</v>
      </c>
      <c r="C208" s="12" t="inlineStr">
        <is>
          <t>Control</t>
        </is>
      </c>
      <c r="D208" s="12" t="inlineStr">
        <is>
          <t>South</t>
        </is>
      </c>
      <c r="E208" s="12" t="inlineStr">
        <is>
          <t>Desktop</t>
        </is>
      </c>
      <c r="F208" s="12" t="inlineStr">
        <is>
          <t>Paid Search</t>
        </is>
      </c>
      <c r="G208" s="12" t="inlineStr">
        <is>
          <t>Free</t>
        </is>
      </c>
      <c r="H208" s="12" t="n">
        <v>1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2</v>
      </c>
      <c r="N208" s="12" t="n">
        <v>0</v>
      </c>
      <c r="O208" s="12" t="n"/>
      <c r="P208" s="12" t="n">
        <v>42.3</v>
      </c>
    </row>
    <row r="209">
      <c r="A209" s="12" t="inlineStr">
        <is>
          <t>USR-100208</t>
        </is>
      </c>
      <c r="B209" s="29" t="n">
        <v>45678</v>
      </c>
      <c r="C209" s="12" t="inlineStr">
        <is>
          <t>Control</t>
        </is>
      </c>
      <c r="D209" s="12" t="inlineStr">
        <is>
          <t>North</t>
        </is>
      </c>
      <c r="E209" s="12" t="inlineStr">
        <is>
          <t>Desktop</t>
        </is>
      </c>
      <c r="F209" s="12" t="inlineStr">
        <is>
          <t>Referral</t>
        </is>
      </c>
      <c r="G209" s="12" t="inlineStr">
        <is>
          <t>Premium</t>
        </is>
      </c>
      <c r="H209" s="12" t="n">
        <v>1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1</v>
      </c>
      <c r="N209" s="12" t="n">
        <v>0</v>
      </c>
      <c r="O209" s="12" t="n"/>
      <c r="P209" s="12" t="n">
        <v>69.59999999999999</v>
      </c>
    </row>
    <row r="210">
      <c r="A210" s="12" t="inlineStr">
        <is>
          <t>USR-100209</t>
        </is>
      </c>
      <c r="B210" s="29" t="n">
        <v>45793</v>
      </c>
      <c r="C210" s="12" t="inlineStr">
        <is>
          <t>Control</t>
        </is>
      </c>
      <c r="D210" s="12" t="inlineStr">
        <is>
          <t>East</t>
        </is>
      </c>
      <c r="E210" s="12" t="inlineStr">
        <is>
          <t>Mobile</t>
        </is>
      </c>
      <c r="F210" s="12" t="inlineStr">
        <is>
          <t>Organic</t>
        </is>
      </c>
      <c r="G210" s="12" t="inlineStr">
        <is>
          <t>Free</t>
        </is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/>
      <c r="P210" s="12" t="n">
        <v>40.7</v>
      </c>
    </row>
    <row r="211">
      <c r="A211" s="12" t="inlineStr">
        <is>
          <t>USR-100210</t>
        </is>
      </c>
      <c r="B211" s="29" t="n">
        <v>45690</v>
      </c>
      <c r="C211" s="12" t="inlineStr">
        <is>
          <t>Control</t>
        </is>
      </c>
      <c r="D211" s="12" t="inlineStr">
        <is>
          <t>North</t>
        </is>
      </c>
      <c r="E211" s="12" t="inlineStr">
        <is>
          <t>Mobile</t>
        </is>
      </c>
      <c r="F211" s="12" t="inlineStr">
        <is>
          <t>Email</t>
        </is>
      </c>
      <c r="G211" s="12" t="inlineStr">
        <is>
          <t>Free</t>
        </is>
      </c>
      <c r="H211" s="12" t="n">
        <v>1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/>
      <c r="P211" s="12" t="n">
        <v>54</v>
      </c>
    </row>
    <row r="212">
      <c r="A212" s="12" t="inlineStr">
        <is>
          <t>USR-100211</t>
        </is>
      </c>
      <c r="B212" s="29" t="n">
        <v>45739</v>
      </c>
      <c r="C212" s="12" t="inlineStr">
        <is>
          <t>Control</t>
        </is>
      </c>
      <c r="D212" s="12" t="inlineStr">
        <is>
          <t>East</t>
        </is>
      </c>
      <c r="E212" s="12" t="n"/>
      <c r="F212" s="12" t="inlineStr">
        <is>
          <t>Referral</t>
        </is>
      </c>
      <c r="G212" s="12" t="inlineStr">
        <is>
          <t>Free</t>
        </is>
      </c>
      <c r="H212" s="12" t="n">
        <v>1</v>
      </c>
      <c r="I212" s="12" t="n">
        <v>1</v>
      </c>
      <c r="J212" s="12" t="n">
        <v>1</v>
      </c>
      <c r="K212" s="12" t="n">
        <v>1</v>
      </c>
      <c r="L212" s="12" t="n">
        <v>553.37</v>
      </c>
      <c r="M212" s="12" t="n">
        <v>0</v>
      </c>
      <c r="N212" s="12" t="n">
        <v>0</v>
      </c>
      <c r="O212" s="12" t="n">
        <v>5</v>
      </c>
      <c r="P212" s="12" t="n">
        <v>46.3</v>
      </c>
    </row>
    <row r="213">
      <c r="A213" s="12" t="inlineStr">
        <is>
          <t>USR-100212</t>
        </is>
      </c>
      <c r="B213" s="29" t="n">
        <v>45681</v>
      </c>
      <c r="C213" s="12" t="inlineStr">
        <is>
          <t>Control</t>
        </is>
      </c>
      <c r="D213" s="12" t="inlineStr">
        <is>
          <t>East</t>
        </is>
      </c>
      <c r="E213" s="12" t="inlineStr">
        <is>
          <t>Mobile</t>
        </is>
      </c>
      <c r="F213" s="12" t="inlineStr">
        <is>
          <t>Organic</t>
        </is>
      </c>
      <c r="G213" s="12" t="inlineStr">
        <is>
          <t>Free</t>
        </is>
      </c>
      <c r="H213" s="12" t="n">
        <v>1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/>
      <c r="P213" s="12" t="n">
        <v>64.2</v>
      </c>
    </row>
    <row r="214">
      <c r="A214" s="12" t="inlineStr">
        <is>
          <t>USR-100213</t>
        </is>
      </c>
      <c r="B214" s="29" t="n">
        <v>45759</v>
      </c>
      <c r="C214" s="12" t="inlineStr">
        <is>
          <t>Control</t>
        </is>
      </c>
      <c r="D214" s="12" t="inlineStr">
        <is>
          <t>North</t>
        </is>
      </c>
      <c r="E214" s="12" t="inlineStr">
        <is>
          <t>Desktop</t>
        </is>
      </c>
      <c r="F214" s="12" t="inlineStr">
        <is>
          <t>Organic</t>
        </is>
      </c>
      <c r="G214" s="12" t="inlineStr">
        <is>
          <t>Free</t>
        </is>
      </c>
      <c r="H214" s="12" t="n">
        <v>1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/>
      <c r="P214" s="12" t="n">
        <v>75.2</v>
      </c>
    </row>
    <row r="215">
      <c r="A215" s="12" t="inlineStr">
        <is>
          <t>USR-100214</t>
        </is>
      </c>
      <c r="B215" s="29" t="n">
        <v>45706</v>
      </c>
      <c r="C215" s="12" t="inlineStr">
        <is>
          <t>Control</t>
        </is>
      </c>
      <c r="D215" s="12" t="inlineStr">
        <is>
          <t>East</t>
        </is>
      </c>
      <c r="E215" s="12" t="inlineStr">
        <is>
          <t>Desktop</t>
        </is>
      </c>
      <c r="F215" s="12" t="inlineStr">
        <is>
          <t>Paid Search</t>
        </is>
      </c>
      <c r="G215" s="12" t="inlineStr">
        <is>
          <t>Free</t>
        </is>
      </c>
      <c r="H215" s="12" t="n">
        <v>1</v>
      </c>
      <c r="I215" s="12" t="n">
        <v>1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/>
      <c r="P215" s="12" t="n">
        <v>60.9</v>
      </c>
    </row>
    <row r="216">
      <c r="A216" s="12" t="inlineStr">
        <is>
          <t>USR-100215</t>
        </is>
      </c>
      <c r="B216" s="29" t="n">
        <v>45805</v>
      </c>
      <c r="C216" s="12" t="inlineStr">
        <is>
          <t>Control</t>
        </is>
      </c>
      <c r="D216" s="12" t="inlineStr">
        <is>
          <t>South</t>
        </is>
      </c>
      <c r="E216" s="12" t="inlineStr">
        <is>
          <t>Mobile</t>
        </is>
      </c>
      <c r="F216" s="12" t="inlineStr">
        <is>
          <t>Email</t>
        </is>
      </c>
      <c r="G216" s="12" t="inlineStr">
        <is>
          <t>Basic</t>
        </is>
      </c>
      <c r="H216" s="12" t="n">
        <v>1</v>
      </c>
      <c r="I216" s="12" t="n">
        <v>1</v>
      </c>
      <c r="J216" s="12" t="n">
        <v>1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/>
      <c r="P216" s="12" t="n">
        <v>62.1</v>
      </c>
    </row>
    <row r="217">
      <c r="A217" s="12" t="inlineStr">
        <is>
          <t>USR-100216</t>
        </is>
      </c>
      <c r="B217" s="29" t="n">
        <v>45765</v>
      </c>
      <c r="C217" s="12" t="inlineStr">
        <is>
          <t>Control</t>
        </is>
      </c>
      <c r="D217" s="12" t="inlineStr">
        <is>
          <t>South</t>
        </is>
      </c>
      <c r="E217" s="12" t="inlineStr">
        <is>
          <t>Mobile</t>
        </is>
      </c>
      <c r="F217" s="12" t="inlineStr">
        <is>
          <t>Social</t>
        </is>
      </c>
      <c r="G217" s="12" t="inlineStr">
        <is>
          <t>Basic</t>
        </is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/>
      <c r="P217" s="12" t="n">
        <v>45.4</v>
      </c>
    </row>
    <row r="218">
      <c r="A218" s="12" t="inlineStr">
        <is>
          <t>USR-100217</t>
        </is>
      </c>
      <c r="B218" s="29" t="n">
        <v>45743</v>
      </c>
      <c r="C218" s="12" t="inlineStr">
        <is>
          <t>Control</t>
        </is>
      </c>
      <c r="D218" s="12" t="inlineStr">
        <is>
          <t>North</t>
        </is>
      </c>
      <c r="E218" s="12" t="inlineStr">
        <is>
          <t>Mobile</t>
        </is>
      </c>
      <c r="F218" s="12" t="inlineStr">
        <is>
          <t>Paid Search</t>
        </is>
      </c>
      <c r="G218" s="12" t="inlineStr">
        <is>
          <t>Basic</t>
        </is>
      </c>
      <c r="H218" s="12" t="n">
        <v>1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/>
      <c r="P218" s="12" t="n">
        <v>53.3</v>
      </c>
    </row>
    <row r="219">
      <c r="A219" s="12" t="inlineStr">
        <is>
          <t>USR-100218</t>
        </is>
      </c>
      <c r="B219" s="29" t="n">
        <v>45713</v>
      </c>
      <c r="C219" s="12" t="inlineStr">
        <is>
          <t>Control</t>
        </is>
      </c>
      <c r="D219" s="12" t="inlineStr">
        <is>
          <t>North</t>
        </is>
      </c>
      <c r="E219" s="12" t="inlineStr">
        <is>
          <t>Tablet</t>
        </is>
      </c>
      <c r="F219" s="12" t="inlineStr">
        <is>
          <t>Social</t>
        </is>
      </c>
      <c r="G219" s="12" t="inlineStr">
        <is>
          <t>Free</t>
        </is>
      </c>
      <c r="H219" s="12" t="n">
        <v>1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/>
      <c r="P219" s="12" t="n"/>
    </row>
    <row r="220">
      <c r="A220" s="12" t="inlineStr">
        <is>
          <t>USR-100219</t>
        </is>
      </c>
      <c r="B220" s="29" t="n">
        <v>45707</v>
      </c>
      <c r="C220" s="12" t="inlineStr">
        <is>
          <t>Control</t>
        </is>
      </c>
      <c r="D220" s="12" t="inlineStr">
        <is>
          <t>East</t>
        </is>
      </c>
      <c r="E220" s="12" t="inlineStr">
        <is>
          <t>Mobile</t>
        </is>
      </c>
      <c r="F220" s="12" t="inlineStr">
        <is>
          <t>Paid Search</t>
        </is>
      </c>
      <c r="G220" s="12" t="inlineStr">
        <is>
          <t>Free</t>
        </is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1</v>
      </c>
      <c r="N220" s="12" t="n">
        <v>0</v>
      </c>
      <c r="O220" s="12" t="n"/>
      <c r="P220" s="12" t="n">
        <v>38.2</v>
      </c>
    </row>
    <row r="221">
      <c r="A221" s="12" t="inlineStr">
        <is>
          <t>USR-100220</t>
        </is>
      </c>
      <c r="B221" s="29" t="n">
        <v>45758</v>
      </c>
      <c r="C221" s="12" t="inlineStr">
        <is>
          <t>Control</t>
        </is>
      </c>
      <c r="D221" s="12" t="inlineStr">
        <is>
          <t>West</t>
        </is>
      </c>
      <c r="E221" s="12" t="inlineStr">
        <is>
          <t>Mobile</t>
        </is>
      </c>
      <c r="F221" s="12" t="inlineStr">
        <is>
          <t>Paid Search</t>
        </is>
      </c>
      <c r="G221" s="12" t="inlineStr">
        <is>
          <t>Free</t>
        </is>
      </c>
      <c r="H221" s="12" t="n">
        <v>1</v>
      </c>
      <c r="I221" s="12" t="n">
        <v>1</v>
      </c>
      <c r="J221" s="12" t="n">
        <v>0</v>
      </c>
      <c r="K221" s="12" t="n">
        <v>0</v>
      </c>
      <c r="L221" s="12" t="n">
        <v>0</v>
      </c>
      <c r="M221" s="12" t="n">
        <v>3</v>
      </c>
      <c r="N221" s="12" t="n">
        <v>0</v>
      </c>
      <c r="O221" s="12" t="n"/>
      <c r="P221" s="12" t="n">
        <v>59</v>
      </c>
    </row>
    <row r="222">
      <c r="A222" s="12" t="inlineStr">
        <is>
          <t>USR-100221</t>
        </is>
      </c>
      <c r="B222" s="29" t="n">
        <v>45679</v>
      </c>
      <c r="C222" s="12" t="inlineStr">
        <is>
          <t>Control</t>
        </is>
      </c>
      <c r="D222" s="12" t="inlineStr">
        <is>
          <t>East</t>
        </is>
      </c>
      <c r="E222" s="12" t="inlineStr">
        <is>
          <t>Tablet</t>
        </is>
      </c>
      <c r="F222" s="12" t="inlineStr">
        <is>
          <t>Referral</t>
        </is>
      </c>
      <c r="G222" s="12" t="inlineStr">
        <is>
          <t>Premium</t>
        </is>
      </c>
      <c r="H222" s="12" t="n">
        <v>1</v>
      </c>
      <c r="I222" s="12" t="n">
        <v>1</v>
      </c>
      <c r="J222" s="12" t="n">
        <v>1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/>
      <c r="P222" s="12" t="n">
        <v>80.59999999999999</v>
      </c>
    </row>
    <row r="223">
      <c r="A223" s="12" t="inlineStr">
        <is>
          <t>USR-100222</t>
        </is>
      </c>
      <c r="B223" s="29" t="n">
        <v>45669</v>
      </c>
      <c r="C223" s="12" t="inlineStr">
        <is>
          <t>Control</t>
        </is>
      </c>
      <c r="D223" s="12" t="inlineStr">
        <is>
          <t>South</t>
        </is>
      </c>
      <c r="E223" s="12" t="inlineStr">
        <is>
          <t>Mobile</t>
        </is>
      </c>
      <c r="F223" s="12" t="inlineStr">
        <is>
          <t>Social</t>
        </is>
      </c>
      <c r="G223" s="12" t="inlineStr">
        <is>
          <t>Free</t>
        </is>
      </c>
      <c r="H223" s="12" t="n">
        <v>1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/>
      <c r="P223" s="12" t="n">
        <v>67</v>
      </c>
    </row>
    <row r="224">
      <c r="A224" s="12" t="inlineStr">
        <is>
          <t>USR-100223</t>
        </is>
      </c>
      <c r="B224" s="29" t="n">
        <v>45705</v>
      </c>
      <c r="C224" s="12" t="inlineStr">
        <is>
          <t>Control</t>
        </is>
      </c>
      <c r="D224" s="12" t="inlineStr">
        <is>
          <t>West</t>
        </is>
      </c>
      <c r="E224" s="12" t="inlineStr">
        <is>
          <t>Mobile</t>
        </is>
      </c>
      <c r="F224" s="12" t="inlineStr">
        <is>
          <t>Email</t>
        </is>
      </c>
      <c r="G224" s="12" t="inlineStr">
        <is>
          <t>Free</t>
        </is>
      </c>
      <c r="H224" s="12" t="n">
        <v>1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1</v>
      </c>
      <c r="N224" s="12" t="n">
        <v>0</v>
      </c>
      <c r="O224" s="12" t="n"/>
      <c r="P224" s="12" t="n">
        <v>72.09999999999999</v>
      </c>
    </row>
    <row r="225">
      <c r="A225" s="12" t="inlineStr">
        <is>
          <t>USR-100224</t>
        </is>
      </c>
      <c r="B225" s="29" t="n">
        <v>45758</v>
      </c>
      <c r="C225" s="12" t="inlineStr">
        <is>
          <t>Control</t>
        </is>
      </c>
      <c r="D225" s="12" t="inlineStr">
        <is>
          <t>West</t>
        </is>
      </c>
      <c r="E225" s="12" t="inlineStr">
        <is>
          <t>Desktop</t>
        </is>
      </c>
      <c r="F225" s="12" t="inlineStr">
        <is>
          <t>Organic</t>
        </is>
      </c>
      <c r="G225" s="12" t="inlineStr">
        <is>
          <t>Free</t>
        </is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/>
      <c r="P225" s="12" t="n">
        <v>74.09999999999999</v>
      </c>
    </row>
    <row r="226">
      <c r="A226" s="12" t="inlineStr">
        <is>
          <t>USR-100225</t>
        </is>
      </c>
      <c r="B226" s="29" t="n">
        <v>45802</v>
      </c>
      <c r="C226" s="12" t="inlineStr">
        <is>
          <t>Control</t>
        </is>
      </c>
      <c r="D226" s="12" t="inlineStr">
        <is>
          <t>South</t>
        </is>
      </c>
      <c r="E226" s="12" t="inlineStr">
        <is>
          <t>Mobile</t>
        </is>
      </c>
      <c r="F226" s="12" t="inlineStr">
        <is>
          <t>Referral</t>
        </is>
      </c>
      <c r="G226" s="12" t="inlineStr">
        <is>
          <t>Premium</t>
        </is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/>
      <c r="P226" s="12" t="n">
        <v>84.8</v>
      </c>
    </row>
    <row r="227">
      <c r="A227" s="12" t="inlineStr">
        <is>
          <t>USR-100226</t>
        </is>
      </c>
      <c r="B227" s="29" t="n">
        <v>45728</v>
      </c>
      <c r="C227" s="12" t="inlineStr">
        <is>
          <t>Control</t>
        </is>
      </c>
      <c r="D227" s="12" t="inlineStr">
        <is>
          <t>South</t>
        </is>
      </c>
      <c r="E227" s="12" t="inlineStr">
        <is>
          <t>Mobile</t>
        </is>
      </c>
      <c r="F227" s="12" t="inlineStr">
        <is>
          <t>Organic</t>
        </is>
      </c>
      <c r="G227" s="12" t="inlineStr">
        <is>
          <t>Basic</t>
        </is>
      </c>
      <c r="H227" s="12" t="n">
        <v>1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/>
      <c r="P227" s="12" t="n">
        <v>33</v>
      </c>
    </row>
    <row r="228">
      <c r="A228" s="12" t="inlineStr">
        <is>
          <t>USR-100227</t>
        </is>
      </c>
      <c r="B228" s="29" t="n">
        <v>45767</v>
      </c>
      <c r="C228" s="12" t="inlineStr">
        <is>
          <t>Control</t>
        </is>
      </c>
      <c r="D228" s="12" t="inlineStr">
        <is>
          <t>North</t>
        </is>
      </c>
      <c r="E228" s="12" t="inlineStr">
        <is>
          <t>Tablet</t>
        </is>
      </c>
      <c r="F228" s="12" t="inlineStr">
        <is>
          <t>Email</t>
        </is>
      </c>
      <c r="G228" s="12" t="inlineStr">
        <is>
          <t>Free</t>
        </is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/>
      <c r="P228" s="12" t="n">
        <v>52.5</v>
      </c>
    </row>
    <row r="229">
      <c r="A229" s="12" t="inlineStr">
        <is>
          <t>USR-100228</t>
        </is>
      </c>
      <c r="B229" s="29" t="n">
        <v>45711</v>
      </c>
      <c r="C229" s="12" t="inlineStr">
        <is>
          <t>Control</t>
        </is>
      </c>
      <c r="D229" s="12" t="inlineStr">
        <is>
          <t>North</t>
        </is>
      </c>
      <c r="E229" s="12" t="inlineStr">
        <is>
          <t>Tablet</t>
        </is>
      </c>
      <c r="F229" s="12" t="inlineStr">
        <is>
          <t>Organic</t>
        </is>
      </c>
      <c r="G229" s="12" t="inlineStr">
        <is>
          <t>Free</t>
        </is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/>
      <c r="P229" s="12" t="n">
        <v>66.90000000000001</v>
      </c>
    </row>
    <row r="230">
      <c r="A230" s="12" t="inlineStr">
        <is>
          <t>USR-100229</t>
        </is>
      </c>
      <c r="B230" s="29" t="n">
        <v>45681</v>
      </c>
      <c r="C230" s="12" t="inlineStr">
        <is>
          <t>Control</t>
        </is>
      </c>
      <c r="D230" s="12" t="inlineStr">
        <is>
          <t>North</t>
        </is>
      </c>
      <c r="E230" s="12" t="inlineStr">
        <is>
          <t>Mobile</t>
        </is>
      </c>
      <c r="F230" s="12" t="inlineStr">
        <is>
          <t>Organic</t>
        </is>
      </c>
      <c r="G230" s="12" t="inlineStr">
        <is>
          <t>Basic</t>
        </is>
      </c>
      <c r="H230" s="12" t="n">
        <v>1</v>
      </c>
      <c r="I230" s="12" t="n">
        <v>1</v>
      </c>
      <c r="J230" s="12" t="n">
        <v>1</v>
      </c>
      <c r="K230" s="12" t="n">
        <v>0</v>
      </c>
      <c r="L230" s="12" t="n">
        <v>0</v>
      </c>
      <c r="M230" s="12" t="n">
        <v>1</v>
      </c>
      <c r="N230" s="12" t="n">
        <v>0</v>
      </c>
      <c r="O230" s="12" t="n"/>
      <c r="P230" s="12" t="n">
        <v>32.7</v>
      </c>
    </row>
    <row r="231">
      <c r="A231" s="12" t="inlineStr">
        <is>
          <t>USR-100230</t>
        </is>
      </c>
      <c r="B231" s="29" t="n">
        <v>45673</v>
      </c>
      <c r="C231" s="12" t="inlineStr">
        <is>
          <t>Control</t>
        </is>
      </c>
      <c r="D231" s="12" t="inlineStr">
        <is>
          <t>West</t>
        </is>
      </c>
      <c r="E231" s="12" t="inlineStr">
        <is>
          <t>Mobile</t>
        </is>
      </c>
      <c r="F231" s="12" t="inlineStr">
        <is>
          <t>Organic</t>
        </is>
      </c>
      <c r="G231" s="12" t="inlineStr">
        <is>
          <t>Premium</t>
        </is>
      </c>
      <c r="H231" s="12" t="n">
        <v>1</v>
      </c>
      <c r="I231" s="12" t="n">
        <v>1</v>
      </c>
      <c r="J231" s="12" t="n">
        <v>1</v>
      </c>
      <c r="K231" s="12" t="n">
        <v>0</v>
      </c>
      <c r="L231" s="12" t="n">
        <v>0</v>
      </c>
      <c r="M231" s="12" t="n">
        <v>1</v>
      </c>
      <c r="N231" s="12" t="n">
        <v>0</v>
      </c>
      <c r="O231" s="12" t="n"/>
      <c r="P231" s="12" t="n">
        <v>70.59999999999999</v>
      </c>
    </row>
    <row r="232">
      <c r="A232" s="12" t="inlineStr">
        <is>
          <t>USR-100231</t>
        </is>
      </c>
      <c r="B232" s="29" t="n">
        <v>45705</v>
      </c>
      <c r="C232" s="12" t="inlineStr">
        <is>
          <t>Control</t>
        </is>
      </c>
      <c r="D232" s="12" t="inlineStr">
        <is>
          <t>North</t>
        </is>
      </c>
      <c r="E232" s="12" t="inlineStr">
        <is>
          <t>Mobile</t>
        </is>
      </c>
      <c r="F232" s="12" t="inlineStr">
        <is>
          <t>Social</t>
        </is>
      </c>
      <c r="G232" s="12" t="inlineStr">
        <is>
          <t>Free</t>
        </is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/>
      <c r="P232" s="12" t="n">
        <v>69.40000000000001</v>
      </c>
    </row>
    <row r="233">
      <c r="A233" s="12" t="inlineStr">
        <is>
          <t>USR-100232</t>
        </is>
      </c>
      <c r="B233" s="29" t="n">
        <v>45781</v>
      </c>
      <c r="C233" s="12" t="inlineStr">
        <is>
          <t>Control</t>
        </is>
      </c>
      <c r="D233" s="12" t="inlineStr">
        <is>
          <t>North</t>
        </is>
      </c>
      <c r="E233" s="12" t="inlineStr">
        <is>
          <t>Desktop</t>
        </is>
      </c>
      <c r="F233" s="12" t="inlineStr">
        <is>
          <t>Organic</t>
        </is>
      </c>
      <c r="G233" s="12" t="inlineStr">
        <is>
          <t>Basic</t>
        </is>
      </c>
      <c r="H233" s="12" t="n">
        <v>1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/>
      <c r="P233" s="12" t="n">
        <v>56.1</v>
      </c>
    </row>
    <row r="234">
      <c r="A234" s="12" t="inlineStr">
        <is>
          <t>USR-100233</t>
        </is>
      </c>
      <c r="B234" s="29" t="n">
        <v>45669</v>
      </c>
      <c r="C234" s="12" t="inlineStr">
        <is>
          <t>Control</t>
        </is>
      </c>
      <c r="D234" s="12" t="inlineStr">
        <is>
          <t>West</t>
        </is>
      </c>
      <c r="E234" s="12" t="inlineStr">
        <is>
          <t>Mobile</t>
        </is>
      </c>
      <c r="F234" s="12" t="inlineStr">
        <is>
          <t>Organic</t>
        </is>
      </c>
      <c r="G234" s="12" t="inlineStr">
        <is>
          <t>Basic</t>
        </is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/>
      <c r="P234" s="12" t="n">
        <v>55.8</v>
      </c>
    </row>
    <row r="235">
      <c r="A235" s="12" t="inlineStr">
        <is>
          <t>USR-100234</t>
        </is>
      </c>
      <c r="B235" s="29" t="n">
        <v>45775</v>
      </c>
      <c r="C235" s="12" t="inlineStr">
        <is>
          <t>Control</t>
        </is>
      </c>
      <c r="D235" s="12" t="inlineStr">
        <is>
          <t>North</t>
        </is>
      </c>
      <c r="E235" s="12" t="inlineStr">
        <is>
          <t>Tablet</t>
        </is>
      </c>
      <c r="F235" s="12" t="inlineStr">
        <is>
          <t>Organic</t>
        </is>
      </c>
      <c r="G235" s="12" t="inlineStr">
        <is>
          <t>Free</t>
        </is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/>
      <c r="P235" s="12" t="n">
        <v>49.3</v>
      </c>
    </row>
    <row r="236">
      <c r="A236" s="12" t="inlineStr">
        <is>
          <t>USR-100235</t>
        </is>
      </c>
      <c r="B236" s="29" t="n">
        <v>45714</v>
      </c>
      <c r="C236" s="12" t="inlineStr">
        <is>
          <t>Control</t>
        </is>
      </c>
      <c r="D236" s="12" t="inlineStr">
        <is>
          <t>North</t>
        </is>
      </c>
      <c r="E236" s="12" t="inlineStr">
        <is>
          <t>Mobile</t>
        </is>
      </c>
      <c r="F236" s="12" t="inlineStr">
        <is>
          <t>Organic</t>
        </is>
      </c>
      <c r="G236" s="12" t="inlineStr">
        <is>
          <t>Free</t>
        </is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/>
      <c r="P236" s="12" t="n">
        <v>71.8</v>
      </c>
    </row>
    <row r="237">
      <c r="A237" s="12" t="inlineStr">
        <is>
          <t>USR-100236</t>
        </is>
      </c>
      <c r="B237" s="29" t="n">
        <v>45734</v>
      </c>
      <c r="C237" s="12" t="inlineStr">
        <is>
          <t>Control</t>
        </is>
      </c>
      <c r="D237" s="12" t="inlineStr">
        <is>
          <t>West</t>
        </is>
      </c>
      <c r="E237" s="12" t="inlineStr">
        <is>
          <t>Mobile</t>
        </is>
      </c>
      <c r="F237" s="12" t="inlineStr">
        <is>
          <t>Social</t>
        </is>
      </c>
      <c r="G237" s="12" t="inlineStr">
        <is>
          <t>Free</t>
        </is>
      </c>
      <c r="H237" s="12" t="n">
        <v>1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3</v>
      </c>
      <c r="N237" s="12" t="n">
        <v>0</v>
      </c>
      <c r="O237" s="12" t="n"/>
      <c r="P237" s="12" t="n">
        <v>39.7</v>
      </c>
    </row>
    <row r="238">
      <c r="A238" s="12" t="inlineStr">
        <is>
          <t>USR-100237</t>
        </is>
      </c>
      <c r="B238" s="29" t="n">
        <v>45717</v>
      </c>
      <c r="C238" s="12" t="inlineStr">
        <is>
          <t>Control</t>
        </is>
      </c>
      <c r="D238" s="12" t="inlineStr">
        <is>
          <t>South</t>
        </is>
      </c>
      <c r="E238" s="12" t="inlineStr">
        <is>
          <t>Desktop</t>
        </is>
      </c>
      <c r="F238" s="12" t="inlineStr">
        <is>
          <t>Organic</t>
        </is>
      </c>
      <c r="G238" s="12" t="inlineStr">
        <is>
          <t>Premium</t>
        </is>
      </c>
      <c r="H238" s="12" t="n">
        <v>1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/>
      <c r="P238" s="12" t="n">
        <v>45.4</v>
      </c>
    </row>
    <row r="239">
      <c r="A239" s="12" t="inlineStr">
        <is>
          <t>USR-100238</t>
        </is>
      </c>
      <c r="B239" s="29" t="n">
        <v>45752</v>
      </c>
      <c r="C239" s="12" t="inlineStr">
        <is>
          <t>Control</t>
        </is>
      </c>
      <c r="D239" s="12" t="inlineStr">
        <is>
          <t>North</t>
        </is>
      </c>
      <c r="E239" s="12" t="inlineStr">
        <is>
          <t>Desktop</t>
        </is>
      </c>
      <c r="F239" s="12" t="inlineStr">
        <is>
          <t>Social</t>
        </is>
      </c>
      <c r="G239" s="12" t="inlineStr">
        <is>
          <t>Premium</t>
        </is>
      </c>
      <c r="H239" s="12" t="n">
        <v>1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/>
      <c r="P239" s="12" t="n">
        <v>69.90000000000001</v>
      </c>
    </row>
    <row r="240">
      <c r="A240" s="12" t="inlineStr">
        <is>
          <t>USR-100239</t>
        </is>
      </c>
      <c r="B240" s="29" t="n">
        <v>45728</v>
      </c>
      <c r="C240" s="12" t="inlineStr">
        <is>
          <t>Control</t>
        </is>
      </c>
      <c r="D240" s="12" t="inlineStr">
        <is>
          <t>North</t>
        </is>
      </c>
      <c r="E240" s="12" t="inlineStr">
        <is>
          <t>Desktop</t>
        </is>
      </c>
      <c r="F240" s="12" t="inlineStr">
        <is>
          <t>Social</t>
        </is>
      </c>
      <c r="G240" s="12" t="inlineStr">
        <is>
          <t>Free</t>
        </is>
      </c>
      <c r="H240" s="12" t="n">
        <v>1</v>
      </c>
      <c r="I240" s="12" t="n">
        <v>1</v>
      </c>
      <c r="J240" s="12" t="n">
        <v>1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/>
      <c r="P240" s="12" t="n">
        <v>56.1</v>
      </c>
    </row>
    <row r="241">
      <c r="A241" s="12" t="inlineStr">
        <is>
          <t>USR-100240</t>
        </is>
      </c>
      <c r="B241" s="29" t="n">
        <v>45731</v>
      </c>
      <c r="C241" s="12" t="inlineStr">
        <is>
          <t>Control</t>
        </is>
      </c>
      <c r="D241" s="12" t="inlineStr">
        <is>
          <t>West</t>
        </is>
      </c>
      <c r="E241" s="12" t="inlineStr">
        <is>
          <t>Mobile</t>
        </is>
      </c>
      <c r="F241" s="12" t="inlineStr">
        <is>
          <t>Referral</t>
        </is>
      </c>
      <c r="G241" s="12" t="inlineStr">
        <is>
          <t>Basic</t>
        </is>
      </c>
      <c r="H241" s="12" t="n">
        <v>1</v>
      </c>
      <c r="I241" s="12" t="n">
        <v>1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/>
      <c r="P241" s="12" t="n">
        <v>45.9</v>
      </c>
    </row>
    <row r="242">
      <c r="A242" s="12" t="inlineStr">
        <is>
          <t>USR-100241</t>
        </is>
      </c>
      <c r="B242" s="29" t="n">
        <v>45711</v>
      </c>
      <c r="C242" s="12" t="inlineStr">
        <is>
          <t>Control</t>
        </is>
      </c>
      <c r="D242" s="12" t="inlineStr">
        <is>
          <t>West</t>
        </is>
      </c>
      <c r="E242" s="12" t="inlineStr">
        <is>
          <t>Mobile</t>
        </is>
      </c>
      <c r="F242" s="12" t="inlineStr">
        <is>
          <t>Email</t>
        </is>
      </c>
      <c r="G242" s="12" t="inlineStr">
        <is>
          <t>Free</t>
        </is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/>
      <c r="P242" s="12" t="n">
        <v>65.8</v>
      </c>
    </row>
    <row r="243">
      <c r="A243" s="12" t="inlineStr">
        <is>
          <t>USR-100242</t>
        </is>
      </c>
      <c r="B243" s="29" t="n">
        <v>45769</v>
      </c>
      <c r="C243" s="12" t="inlineStr">
        <is>
          <t>Control</t>
        </is>
      </c>
      <c r="D243" s="12" t="inlineStr">
        <is>
          <t>North</t>
        </is>
      </c>
      <c r="E243" s="12" t="inlineStr">
        <is>
          <t>Mobile</t>
        </is>
      </c>
      <c r="F243" s="12" t="inlineStr">
        <is>
          <t>Organic</t>
        </is>
      </c>
      <c r="G243" s="12" t="inlineStr">
        <is>
          <t>Basic</t>
        </is>
      </c>
      <c r="H243" s="12" t="n">
        <v>1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/>
      <c r="P243" s="12" t="n">
        <v>48.2</v>
      </c>
    </row>
    <row r="244">
      <c r="A244" s="12" t="inlineStr">
        <is>
          <t>USR-100243</t>
        </is>
      </c>
      <c r="B244" s="29" t="n">
        <v>45666</v>
      </c>
      <c r="C244" s="12" t="inlineStr">
        <is>
          <t>Control</t>
        </is>
      </c>
      <c r="D244" s="12" t="inlineStr">
        <is>
          <t>East</t>
        </is>
      </c>
      <c r="E244" s="12" t="inlineStr">
        <is>
          <t>Mobile</t>
        </is>
      </c>
      <c r="F244" s="12" t="inlineStr">
        <is>
          <t>Organic</t>
        </is>
      </c>
      <c r="G244" s="12" t="inlineStr">
        <is>
          <t>Basic</t>
        </is>
      </c>
      <c r="H244" s="12" t="n">
        <v>1</v>
      </c>
      <c r="I244" s="12" t="n">
        <v>1</v>
      </c>
      <c r="J244" s="12" t="n">
        <v>1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/>
      <c r="P244" s="12" t="n">
        <v>81.09999999999999</v>
      </c>
    </row>
    <row r="245">
      <c r="A245" s="12" t="inlineStr">
        <is>
          <t>USR-100244</t>
        </is>
      </c>
      <c r="B245" s="29" t="n">
        <v>45721</v>
      </c>
      <c r="C245" s="12" t="inlineStr">
        <is>
          <t>Control</t>
        </is>
      </c>
      <c r="D245" s="12" t="inlineStr">
        <is>
          <t>East</t>
        </is>
      </c>
      <c r="E245" s="12" t="inlineStr">
        <is>
          <t>Tablet</t>
        </is>
      </c>
      <c r="F245" s="12" t="inlineStr">
        <is>
          <t>Social</t>
        </is>
      </c>
      <c r="G245" s="12" t="inlineStr">
        <is>
          <t>Premium</t>
        </is>
      </c>
      <c r="H245" s="12" t="n">
        <v>1</v>
      </c>
      <c r="I245" s="12" t="n">
        <v>1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/>
      <c r="P245" s="12" t="n">
        <v>53.2</v>
      </c>
    </row>
    <row r="246">
      <c r="A246" s="12" t="inlineStr">
        <is>
          <t>USR-100245</t>
        </is>
      </c>
      <c r="B246" s="29" t="n">
        <v>45685</v>
      </c>
      <c r="C246" s="12" t="inlineStr">
        <is>
          <t>Control</t>
        </is>
      </c>
      <c r="D246" s="12" t="inlineStr">
        <is>
          <t>North</t>
        </is>
      </c>
      <c r="E246" s="12" t="inlineStr">
        <is>
          <t>Mobile</t>
        </is>
      </c>
      <c r="F246" s="12" t="inlineStr">
        <is>
          <t>Social</t>
        </is>
      </c>
      <c r="G246" s="12" t="inlineStr">
        <is>
          <t>Free</t>
        </is>
      </c>
      <c r="H246" s="12" t="n">
        <v>1</v>
      </c>
      <c r="I246" s="12" t="n">
        <v>1</v>
      </c>
      <c r="J246" s="12" t="n">
        <v>1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/>
      <c r="P246" s="12" t="n">
        <v>57.7</v>
      </c>
    </row>
    <row r="247">
      <c r="A247" s="12" t="inlineStr">
        <is>
          <t>USR-100246</t>
        </is>
      </c>
      <c r="B247" s="29" t="n">
        <v>45678</v>
      </c>
      <c r="C247" s="12" t="inlineStr">
        <is>
          <t>Control</t>
        </is>
      </c>
      <c r="D247" s="12" t="inlineStr">
        <is>
          <t>West</t>
        </is>
      </c>
      <c r="E247" s="12" t="inlineStr">
        <is>
          <t>Mobile</t>
        </is>
      </c>
      <c r="F247" s="12" t="inlineStr">
        <is>
          <t>Paid Search</t>
        </is>
      </c>
      <c r="G247" s="12" t="inlineStr">
        <is>
          <t>Premium</t>
        </is>
      </c>
      <c r="H247" s="12" t="n">
        <v>1</v>
      </c>
      <c r="I247" s="12" t="n">
        <v>1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/>
      <c r="P247" s="12" t="n">
        <v>78.90000000000001</v>
      </c>
    </row>
    <row r="248">
      <c r="A248" s="12" t="inlineStr">
        <is>
          <t>USR-100247</t>
        </is>
      </c>
      <c r="B248" s="29" t="n">
        <v>45730</v>
      </c>
      <c r="C248" s="12" t="inlineStr">
        <is>
          <t>Control</t>
        </is>
      </c>
      <c r="D248" s="12" t="inlineStr">
        <is>
          <t>South</t>
        </is>
      </c>
      <c r="E248" s="12" t="inlineStr">
        <is>
          <t>Mobile</t>
        </is>
      </c>
      <c r="F248" s="12" t="inlineStr">
        <is>
          <t>Referral</t>
        </is>
      </c>
      <c r="G248" s="12" t="inlineStr">
        <is>
          <t>Basic</t>
        </is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/>
      <c r="P248" s="12" t="n">
        <v>55.7</v>
      </c>
    </row>
    <row r="249">
      <c r="A249" s="12" t="inlineStr">
        <is>
          <t>USR-100248</t>
        </is>
      </c>
      <c r="B249" s="29" t="n">
        <v>45691</v>
      </c>
      <c r="C249" s="12" t="inlineStr">
        <is>
          <t>Control</t>
        </is>
      </c>
      <c r="D249" s="12" t="inlineStr">
        <is>
          <t>West</t>
        </is>
      </c>
      <c r="E249" s="12" t="inlineStr">
        <is>
          <t>Mobile</t>
        </is>
      </c>
      <c r="F249" s="12" t="inlineStr">
        <is>
          <t>Paid Search</t>
        </is>
      </c>
      <c r="G249" s="12" t="inlineStr">
        <is>
          <t>Free</t>
        </is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/>
      <c r="P249" s="12" t="n">
        <v>52.3</v>
      </c>
    </row>
    <row r="250">
      <c r="A250" s="12" t="inlineStr">
        <is>
          <t>USR-100249</t>
        </is>
      </c>
      <c r="B250" s="29" t="n">
        <v>45799</v>
      </c>
      <c r="C250" s="12" t="inlineStr">
        <is>
          <t>Control</t>
        </is>
      </c>
      <c r="D250" s="12" t="inlineStr">
        <is>
          <t>North</t>
        </is>
      </c>
      <c r="E250" s="12" t="inlineStr">
        <is>
          <t>Mobile</t>
        </is>
      </c>
      <c r="F250" s="12" t="inlineStr">
        <is>
          <t>Social</t>
        </is>
      </c>
      <c r="G250" s="12" t="inlineStr">
        <is>
          <t>Free</t>
        </is>
      </c>
      <c r="H250" s="12" t="n">
        <v>1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/>
      <c r="P250" s="12" t="n">
        <v>51.5</v>
      </c>
    </row>
    <row r="251">
      <c r="A251" s="12" t="inlineStr">
        <is>
          <t>USR-100250</t>
        </is>
      </c>
      <c r="B251" s="29" t="n">
        <v>45772</v>
      </c>
      <c r="C251" s="12" t="inlineStr">
        <is>
          <t>Control</t>
        </is>
      </c>
      <c r="D251" s="12" t="inlineStr">
        <is>
          <t>North</t>
        </is>
      </c>
      <c r="E251" s="12" t="inlineStr">
        <is>
          <t>Desktop</t>
        </is>
      </c>
      <c r="F251" s="12" t="inlineStr">
        <is>
          <t>Email</t>
        </is>
      </c>
      <c r="G251" s="12" t="inlineStr">
        <is>
          <t>Free</t>
        </is>
      </c>
      <c r="H251" s="12" t="n">
        <v>1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/>
      <c r="P251" s="12" t="n">
        <v>70.8</v>
      </c>
    </row>
    <row r="252">
      <c r="A252" s="12" t="inlineStr">
        <is>
          <t>USR-100251</t>
        </is>
      </c>
      <c r="B252" s="29" t="n">
        <v>45687</v>
      </c>
      <c r="C252" s="12" t="inlineStr">
        <is>
          <t>Control</t>
        </is>
      </c>
      <c r="D252" s="12" t="inlineStr">
        <is>
          <t>North</t>
        </is>
      </c>
      <c r="E252" s="12" t="inlineStr">
        <is>
          <t>Desktop</t>
        </is>
      </c>
      <c r="F252" s="12" t="inlineStr">
        <is>
          <t>Email</t>
        </is>
      </c>
      <c r="G252" s="12" t="inlineStr">
        <is>
          <t>Basic</t>
        </is>
      </c>
      <c r="H252" s="12" t="n">
        <v>1</v>
      </c>
      <c r="I252" s="12" t="n">
        <v>1</v>
      </c>
      <c r="J252" s="12" t="n">
        <v>1</v>
      </c>
      <c r="K252" s="12" t="n">
        <v>1</v>
      </c>
      <c r="L252" s="12" t="n">
        <v>1250.78</v>
      </c>
      <c r="M252" s="12" t="n">
        <v>0</v>
      </c>
      <c r="N252" s="12" t="n">
        <v>0</v>
      </c>
      <c r="O252" s="12" t="n">
        <v>10</v>
      </c>
      <c r="P252" s="12" t="n">
        <v>39</v>
      </c>
    </row>
    <row r="253">
      <c r="A253" s="12" t="inlineStr">
        <is>
          <t>USR-100252</t>
        </is>
      </c>
      <c r="B253" s="29" t="n">
        <v>45800</v>
      </c>
      <c r="C253" s="12" t="inlineStr">
        <is>
          <t>Control</t>
        </is>
      </c>
      <c r="D253" s="12" t="inlineStr">
        <is>
          <t>West</t>
        </is>
      </c>
      <c r="E253" s="12" t="inlineStr">
        <is>
          <t>Mobile</t>
        </is>
      </c>
      <c r="F253" s="12" t="inlineStr">
        <is>
          <t>Organic</t>
        </is>
      </c>
      <c r="G253" s="12" t="inlineStr">
        <is>
          <t>Free</t>
        </is>
      </c>
      <c r="H253" s="12" t="n">
        <v>1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/>
      <c r="P253" s="12" t="n">
        <v>61.6</v>
      </c>
    </row>
    <row r="254">
      <c r="A254" s="12" t="inlineStr">
        <is>
          <t>USR-100253</t>
        </is>
      </c>
      <c r="B254" s="29" t="n">
        <v>45702</v>
      </c>
      <c r="C254" s="12" t="inlineStr">
        <is>
          <t>Control</t>
        </is>
      </c>
      <c r="D254" s="12" t="inlineStr">
        <is>
          <t>East</t>
        </is>
      </c>
      <c r="E254" s="12" t="inlineStr">
        <is>
          <t>Desktop</t>
        </is>
      </c>
      <c r="F254" s="12" t="inlineStr">
        <is>
          <t>Organic</t>
        </is>
      </c>
      <c r="G254" s="12" t="inlineStr">
        <is>
          <t>Free</t>
        </is>
      </c>
      <c r="H254" s="12" t="n">
        <v>1</v>
      </c>
      <c r="I254" s="12" t="n">
        <v>1</v>
      </c>
      <c r="J254" s="12" t="n">
        <v>1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/>
      <c r="P254" s="12" t="n">
        <v>46.8</v>
      </c>
    </row>
    <row r="255">
      <c r="A255" s="12" t="inlineStr">
        <is>
          <t>USR-100254</t>
        </is>
      </c>
      <c r="B255" s="29" t="n">
        <v>45721</v>
      </c>
      <c r="C255" s="12" t="inlineStr">
        <is>
          <t>Control</t>
        </is>
      </c>
      <c r="D255" s="12" t="inlineStr">
        <is>
          <t>North</t>
        </is>
      </c>
      <c r="E255" s="12" t="inlineStr">
        <is>
          <t>Mobile</t>
        </is>
      </c>
      <c r="F255" s="12" t="inlineStr">
        <is>
          <t>Paid Search</t>
        </is>
      </c>
      <c r="G255" s="12" t="inlineStr">
        <is>
          <t>Premium</t>
        </is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1</v>
      </c>
      <c r="N255" s="12" t="n">
        <v>0</v>
      </c>
      <c r="O255" s="12" t="n"/>
      <c r="P255" s="12" t="n">
        <v>58.5</v>
      </c>
    </row>
    <row r="256">
      <c r="A256" s="12" t="inlineStr">
        <is>
          <t>USR-100255</t>
        </is>
      </c>
      <c r="B256" s="29" t="n">
        <v>45804</v>
      </c>
      <c r="C256" s="12" t="inlineStr">
        <is>
          <t>Control</t>
        </is>
      </c>
      <c r="D256" s="12" t="inlineStr">
        <is>
          <t>North</t>
        </is>
      </c>
      <c r="E256" s="12" t="inlineStr">
        <is>
          <t>Mobile</t>
        </is>
      </c>
      <c r="F256" s="12" t="inlineStr">
        <is>
          <t>Paid Search</t>
        </is>
      </c>
      <c r="G256" s="12" t="inlineStr">
        <is>
          <t>Basic</t>
        </is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/>
      <c r="P256" s="12" t="n">
        <v>70.90000000000001</v>
      </c>
    </row>
    <row r="257">
      <c r="A257" s="12" t="inlineStr">
        <is>
          <t>USR-100256</t>
        </is>
      </c>
      <c r="B257" s="29" t="n">
        <v>45664</v>
      </c>
      <c r="C257" s="12" t="inlineStr">
        <is>
          <t>Control</t>
        </is>
      </c>
      <c r="D257" s="12" t="inlineStr">
        <is>
          <t>South</t>
        </is>
      </c>
      <c r="E257" s="12" t="inlineStr">
        <is>
          <t>Mobile</t>
        </is>
      </c>
      <c r="F257" s="12" t="inlineStr">
        <is>
          <t>Paid Search</t>
        </is>
      </c>
      <c r="G257" s="12" t="inlineStr">
        <is>
          <t>Free</t>
        </is>
      </c>
      <c r="H257" s="12" t="n">
        <v>1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/>
      <c r="P257" s="12" t="n">
        <v>48.4</v>
      </c>
    </row>
    <row r="258">
      <c r="A258" s="12" t="inlineStr">
        <is>
          <t>USR-100257</t>
        </is>
      </c>
      <c r="B258" s="29" t="n">
        <v>45768</v>
      </c>
      <c r="C258" s="12" t="inlineStr">
        <is>
          <t>Control</t>
        </is>
      </c>
      <c r="D258" s="12" t="inlineStr">
        <is>
          <t>North</t>
        </is>
      </c>
      <c r="E258" s="12" t="inlineStr">
        <is>
          <t>Mobile</t>
        </is>
      </c>
      <c r="F258" s="12" t="inlineStr">
        <is>
          <t>Email</t>
        </is>
      </c>
      <c r="G258" s="12" t="inlineStr">
        <is>
          <t>Free</t>
        </is>
      </c>
      <c r="H258" s="12" t="n">
        <v>1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/>
      <c r="P258" s="12" t="n">
        <v>58</v>
      </c>
    </row>
    <row r="259">
      <c r="A259" s="12" t="inlineStr">
        <is>
          <t>USR-100258</t>
        </is>
      </c>
      <c r="B259" s="29" t="n">
        <v>45790</v>
      </c>
      <c r="C259" s="12" t="inlineStr">
        <is>
          <t>Control</t>
        </is>
      </c>
      <c r="D259" s="12" t="inlineStr">
        <is>
          <t>North</t>
        </is>
      </c>
      <c r="E259" s="12" t="inlineStr">
        <is>
          <t>Mobile</t>
        </is>
      </c>
      <c r="F259" s="12" t="inlineStr">
        <is>
          <t>Paid Search</t>
        </is>
      </c>
      <c r="G259" s="12" t="inlineStr">
        <is>
          <t>Free</t>
        </is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/>
      <c r="P259" s="12" t="n">
        <v>61.6</v>
      </c>
    </row>
    <row r="260">
      <c r="A260" s="12" t="inlineStr">
        <is>
          <t>USR-100259</t>
        </is>
      </c>
      <c r="B260" s="29" t="n">
        <v>45685</v>
      </c>
      <c r="C260" s="12" t="inlineStr">
        <is>
          <t>Control</t>
        </is>
      </c>
      <c r="D260" s="12" t="inlineStr">
        <is>
          <t>East</t>
        </is>
      </c>
      <c r="E260" s="12" t="inlineStr">
        <is>
          <t>Desktop</t>
        </is>
      </c>
      <c r="F260" s="12" t="inlineStr">
        <is>
          <t>Organic</t>
        </is>
      </c>
      <c r="G260" s="12" t="inlineStr">
        <is>
          <t>Free</t>
        </is>
      </c>
      <c r="H260" s="12" t="n">
        <v>1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/>
      <c r="P260" s="12" t="n">
        <v>43.2</v>
      </c>
    </row>
    <row r="261">
      <c r="A261" s="12" t="inlineStr">
        <is>
          <t>USR-100260</t>
        </is>
      </c>
      <c r="B261" s="29" t="n">
        <v>45732</v>
      </c>
      <c r="C261" s="12" t="inlineStr">
        <is>
          <t>Control</t>
        </is>
      </c>
      <c r="D261" s="12" t="inlineStr">
        <is>
          <t>East</t>
        </is>
      </c>
      <c r="E261" s="12" t="inlineStr">
        <is>
          <t>Desktop</t>
        </is>
      </c>
      <c r="F261" s="12" t="inlineStr">
        <is>
          <t>Paid Search</t>
        </is>
      </c>
      <c r="G261" s="12" t="inlineStr">
        <is>
          <t>Basic</t>
        </is>
      </c>
      <c r="H261" s="12" t="n">
        <v>1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1</v>
      </c>
      <c r="N261" s="12" t="n">
        <v>0</v>
      </c>
      <c r="O261" s="12" t="n"/>
      <c r="P261" s="12" t="n">
        <v>53.3</v>
      </c>
    </row>
    <row r="262">
      <c r="A262" s="12" t="inlineStr">
        <is>
          <t>USR-100261</t>
        </is>
      </c>
      <c r="B262" s="29" t="n">
        <v>45757</v>
      </c>
      <c r="C262" s="12" t="inlineStr">
        <is>
          <t>Control</t>
        </is>
      </c>
      <c r="D262" s="12" t="inlineStr">
        <is>
          <t>East</t>
        </is>
      </c>
      <c r="E262" s="12" t="inlineStr">
        <is>
          <t>Desktop</t>
        </is>
      </c>
      <c r="F262" s="12" t="inlineStr">
        <is>
          <t>Social</t>
        </is>
      </c>
      <c r="G262" s="12" t="inlineStr">
        <is>
          <t>Basic</t>
        </is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/>
      <c r="P262" s="12" t="n">
        <v>33.9</v>
      </c>
    </row>
    <row r="263">
      <c r="A263" s="12" t="inlineStr">
        <is>
          <t>USR-100262</t>
        </is>
      </c>
      <c r="B263" s="29" t="n">
        <v>45731</v>
      </c>
      <c r="C263" s="12" t="inlineStr">
        <is>
          <t>Control</t>
        </is>
      </c>
      <c r="D263" s="12" t="inlineStr">
        <is>
          <t>East</t>
        </is>
      </c>
      <c r="E263" s="12" t="inlineStr">
        <is>
          <t>Desktop</t>
        </is>
      </c>
      <c r="F263" s="12" t="inlineStr">
        <is>
          <t>Referral</t>
        </is>
      </c>
      <c r="G263" s="12" t="inlineStr">
        <is>
          <t>Free</t>
        </is>
      </c>
      <c r="H263" s="12" t="n">
        <v>1</v>
      </c>
      <c r="I263" s="12" t="n">
        <v>1</v>
      </c>
      <c r="J263" s="12" t="n">
        <v>1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/>
      <c r="P263" s="12" t="n">
        <v>35.4</v>
      </c>
    </row>
    <row r="264">
      <c r="A264" s="12" t="inlineStr">
        <is>
          <t>USR-100263</t>
        </is>
      </c>
      <c r="B264" s="29" t="n">
        <v>45754</v>
      </c>
      <c r="C264" s="12" t="inlineStr">
        <is>
          <t>Control</t>
        </is>
      </c>
      <c r="D264" s="12" t="inlineStr">
        <is>
          <t>West</t>
        </is>
      </c>
      <c r="E264" s="12" t="inlineStr">
        <is>
          <t>Desktop</t>
        </is>
      </c>
      <c r="F264" s="12" t="inlineStr">
        <is>
          <t>Organic</t>
        </is>
      </c>
      <c r="G264" s="12" t="inlineStr">
        <is>
          <t>Basic</t>
        </is>
      </c>
      <c r="H264" s="12" t="n">
        <v>1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/>
      <c r="P264" s="12" t="n">
        <v>45</v>
      </c>
    </row>
    <row r="265">
      <c r="A265" s="12" t="inlineStr">
        <is>
          <t>USR-100264</t>
        </is>
      </c>
      <c r="B265" s="29" t="n">
        <v>45700</v>
      </c>
      <c r="C265" s="12" t="inlineStr">
        <is>
          <t>Control</t>
        </is>
      </c>
      <c r="D265" s="12" t="inlineStr">
        <is>
          <t>South</t>
        </is>
      </c>
      <c r="E265" s="12" t="inlineStr">
        <is>
          <t>Mobile</t>
        </is>
      </c>
      <c r="F265" s="12" t="inlineStr">
        <is>
          <t>Organic</t>
        </is>
      </c>
      <c r="G265" s="12" t="inlineStr">
        <is>
          <t>Free</t>
        </is>
      </c>
      <c r="H265" s="12" t="n">
        <v>1</v>
      </c>
      <c r="I265" s="12" t="n">
        <v>1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/>
      <c r="P265" s="12" t="n">
        <v>86.5</v>
      </c>
    </row>
    <row r="266">
      <c r="A266" s="12" t="inlineStr">
        <is>
          <t>USR-100265</t>
        </is>
      </c>
      <c r="B266" s="29" t="n">
        <v>45782</v>
      </c>
      <c r="C266" s="12" t="inlineStr">
        <is>
          <t>Control</t>
        </is>
      </c>
      <c r="D266" s="12" t="inlineStr">
        <is>
          <t>West</t>
        </is>
      </c>
      <c r="E266" s="12" t="inlineStr">
        <is>
          <t>Mobile</t>
        </is>
      </c>
      <c r="F266" s="12" t="inlineStr">
        <is>
          <t>Social</t>
        </is>
      </c>
      <c r="G266" s="12" t="inlineStr">
        <is>
          <t>Free</t>
        </is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/>
      <c r="P266" s="12" t="n">
        <v>58.1</v>
      </c>
    </row>
    <row r="267">
      <c r="A267" s="12" t="inlineStr">
        <is>
          <t>USR-100266</t>
        </is>
      </c>
      <c r="B267" s="29" t="n">
        <v>45727</v>
      </c>
      <c r="C267" s="12" t="inlineStr">
        <is>
          <t>Control</t>
        </is>
      </c>
      <c r="D267" s="12" t="inlineStr">
        <is>
          <t>West</t>
        </is>
      </c>
      <c r="E267" s="12" t="inlineStr">
        <is>
          <t>Mobile</t>
        </is>
      </c>
      <c r="F267" s="12" t="inlineStr">
        <is>
          <t>Referral</t>
        </is>
      </c>
      <c r="G267" s="12" t="inlineStr">
        <is>
          <t>Free</t>
        </is>
      </c>
      <c r="H267" s="12" t="n">
        <v>1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/>
      <c r="P267" s="12" t="n">
        <v>36.1</v>
      </c>
    </row>
    <row r="268">
      <c r="A268" s="12" t="inlineStr">
        <is>
          <t>USR-100267</t>
        </is>
      </c>
      <c r="B268" s="29" t="n">
        <v>45698</v>
      </c>
      <c r="C268" s="12" t="inlineStr">
        <is>
          <t>Control</t>
        </is>
      </c>
      <c r="D268" s="12" t="inlineStr">
        <is>
          <t>East</t>
        </is>
      </c>
      <c r="E268" s="12" t="inlineStr">
        <is>
          <t>Mobile</t>
        </is>
      </c>
      <c r="F268" s="12" t="inlineStr">
        <is>
          <t>Social</t>
        </is>
      </c>
      <c r="G268" s="12" t="inlineStr">
        <is>
          <t>Free</t>
        </is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/>
      <c r="P268" s="12" t="n">
        <v>62.8</v>
      </c>
    </row>
    <row r="269">
      <c r="A269" s="12" t="inlineStr">
        <is>
          <t>USR-100268</t>
        </is>
      </c>
      <c r="B269" s="29" t="n">
        <v>45753</v>
      </c>
      <c r="C269" s="12" t="inlineStr">
        <is>
          <t>Control</t>
        </is>
      </c>
      <c r="D269" s="12" t="inlineStr">
        <is>
          <t>South</t>
        </is>
      </c>
      <c r="E269" s="12" t="inlineStr">
        <is>
          <t>Mobile</t>
        </is>
      </c>
      <c r="F269" s="12" t="inlineStr">
        <is>
          <t>Organic</t>
        </is>
      </c>
      <c r="G269" s="12" t="inlineStr">
        <is>
          <t>Free</t>
        </is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/>
      <c r="P269" s="12" t="n">
        <v>54.2</v>
      </c>
    </row>
    <row r="270">
      <c r="A270" s="12" t="inlineStr">
        <is>
          <t>USR-100269</t>
        </is>
      </c>
      <c r="B270" s="29" t="n">
        <v>45663</v>
      </c>
      <c r="C270" s="12" t="inlineStr">
        <is>
          <t>Control</t>
        </is>
      </c>
      <c r="D270" s="12" t="inlineStr">
        <is>
          <t>East</t>
        </is>
      </c>
      <c r="E270" s="12" t="inlineStr">
        <is>
          <t>Mobile</t>
        </is>
      </c>
      <c r="F270" s="12" t="inlineStr">
        <is>
          <t>Referral</t>
        </is>
      </c>
      <c r="G270" s="12" t="inlineStr">
        <is>
          <t>Free</t>
        </is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/>
      <c r="P270" s="12" t="n">
        <v>50</v>
      </c>
    </row>
    <row r="271">
      <c r="A271" s="12" t="inlineStr">
        <is>
          <t>USR-100270</t>
        </is>
      </c>
      <c r="B271" s="29" t="n">
        <v>45741</v>
      </c>
      <c r="C271" s="12" t="inlineStr">
        <is>
          <t>Control</t>
        </is>
      </c>
      <c r="D271" s="12" t="inlineStr">
        <is>
          <t>East</t>
        </is>
      </c>
      <c r="E271" s="12" t="inlineStr">
        <is>
          <t>Tablet</t>
        </is>
      </c>
      <c r="F271" s="12" t="inlineStr">
        <is>
          <t>Paid Search</t>
        </is>
      </c>
      <c r="G271" s="12" t="inlineStr">
        <is>
          <t>Basic</t>
        </is>
      </c>
      <c r="H271" s="12" t="n">
        <v>1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/>
      <c r="P271" s="12" t="n">
        <v>62</v>
      </c>
    </row>
    <row r="272">
      <c r="A272" s="12" t="inlineStr">
        <is>
          <t>USR-100271</t>
        </is>
      </c>
      <c r="B272" s="29" t="n">
        <v>45701</v>
      </c>
      <c r="C272" s="12" t="inlineStr">
        <is>
          <t>Control</t>
        </is>
      </c>
      <c r="D272" s="12" t="inlineStr">
        <is>
          <t>East</t>
        </is>
      </c>
      <c r="E272" s="12" t="inlineStr">
        <is>
          <t>Desktop</t>
        </is>
      </c>
      <c r="F272" s="12" t="inlineStr">
        <is>
          <t>Referral</t>
        </is>
      </c>
      <c r="G272" s="12" t="inlineStr">
        <is>
          <t>Free</t>
        </is>
      </c>
      <c r="H272" s="12" t="n">
        <v>1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/>
      <c r="P272" s="12" t="n">
        <v>29.3</v>
      </c>
    </row>
    <row r="273">
      <c r="A273" s="12" t="inlineStr">
        <is>
          <t>USR-100272</t>
        </is>
      </c>
      <c r="B273" s="29" t="n">
        <v>45733</v>
      </c>
      <c r="C273" s="12" t="inlineStr">
        <is>
          <t>Control</t>
        </is>
      </c>
      <c r="D273" s="12" t="inlineStr">
        <is>
          <t>West</t>
        </is>
      </c>
      <c r="E273" s="12" t="inlineStr">
        <is>
          <t>Desktop</t>
        </is>
      </c>
      <c r="F273" s="12" t="inlineStr">
        <is>
          <t>Organic</t>
        </is>
      </c>
      <c r="G273" s="12" t="inlineStr">
        <is>
          <t>Free</t>
        </is>
      </c>
      <c r="H273" s="12" t="n">
        <v>1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/>
      <c r="P273" s="12" t="n">
        <v>67.90000000000001</v>
      </c>
    </row>
    <row r="274">
      <c r="A274" s="12" t="inlineStr">
        <is>
          <t>USR-100273</t>
        </is>
      </c>
      <c r="B274" s="29" t="n">
        <v>45787</v>
      </c>
      <c r="C274" s="12" t="inlineStr">
        <is>
          <t>Control</t>
        </is>
      </c>
      <c r="D274" s="12" t="inlineStr">
        <is>
          <t>North</t>
        </is>
      </c>
      <c r="E274" s="12" t="inlineStr">
        <is>
          <t>Mobile</t>
        </is>
      </c>
      <c r="F274" s="12" t="inlineStr">
        <is>
          <t>Referral</t>
        </is>
      </c>
      <c r="G274" s="12" t="inlineStr">
        <is>
          <t>Free</t>
        </is>
      </c>
      <c r="H274" s="12" t="n">
        <v>1</v>
      </c>
      <c r="I274" s="12" t="n">
        <v>1</v>
      </c>
      <c r="J274" s="12" t="n">
        <v>1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/>
      <c r="P274" s="12" t="n">
        <v>67.59999999999999</v>
      </c>
    </row>
    <row r="275">
      <c r="A275" s="12" t="inlineStr">
        <is>
          <t>USR-100274</t>
        </is>
      </c>
      <c r="B275" s="29" t="n">
        <v>45784</v>
      </c>
      <c r="C275" s="12" t="inlineStr">
        <is>
          <t>Control</t>
        </is>
      </c>
      <c r="D275" s="12" t="inlineStr">
        <is>
          <t>South</t>
        </is>
      </c>
      <c r="E275" s="12" t="inlineStr">
        <is>
          <t>Mobile</t>
        </is>
      </c>
      <c r="F275" s="12" t="inlineStr">
        <is>
          <t>Paid Search</t>
        </is>
      </c>
      <c r="G275" s="12" t="inlineStr">
        <is>
          <t>Basic</t>
        </is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/>
      <c r="P275" s="12" t="n">
        <v>67.40000000000001</v>
      </c>
    </row>
    <row r="276">
      <c r="A276" s="12" t="inlineStr">
        <is>
          <t>USR-100275</t>
        </is>
      </c>
      <c r="B276" s="29" t="n">
        <v>45714</v>
      </c>
      <c r="C276" s="12" t="inlineStr">
        <is>
          <t>Control</t>
        </is>
      </c>
      <c r="D276" s="12" t="inlineStr">
        <is>
          <t>West</t>
        </is>
      </c>
      <c r="E276" s="12" t="inlineStr">
        <is>
          <t>Desktop</t>
        </is>
      </c>
      <c r="F276" s="12" t="inlineStr">
        <is>
          <t>Paid Search</t>
        </is>
      </c>
      <c r="G276" s="12" t="inlineStr">
        <is>
          <t>Premium</t>
        </is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2</v>
      </c>
      <c r="N276" s="12" t="n">
        <v>0</v>
      </c>
      <c r="O276" s="12" t="n"/>
      <c r="P276" s="12" t="n">
        <v>53</v>
      </c>
    </row>
    <row r="277">
      <c r="A277" s="12" t="inlineStr">
        <is>
          <t>USR-100276</t>
        </is>
      </c>
      <c r="B277" s="29" t="n">
        <v>45788</v>
      </c>
      <c r="C277" s="12" t="inlineStr">
        <is>
          <t>Control</t>
        </is>
      </c>
      <c r="D277" s="12" t="inlineStr">
        <is>
          <t>North</t>
        </is>
      </c>
      <c r="E277" s="12" t="inlineStr">
        <is>
          <t>Mobile</t>
        </is>
      </c>
      <c r="F277" s="12" t="inlineStr">
        <is>
          <t>Organic</t>
        </is>
      </c>
      <c r="G277" s="12" t="inlineStr">
        <is>
          <t>Basic</t>
        </is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/>
      <c r="P277" s="12" t="n">
        <v>65.5</v>
      </c>
    </row>
    <row r="278">
      <c r="A278" s="12" t="inlineStr">
        <is>
          <t>USR-100277</t>
        </is>
      </c>
      <c r="B278" s="29" t="n">
        <v>45736</v>
      </c>
      <c r="C278" s="12" t="inlineStr">
        <is>
          <t>Control</t>
        </is>
      </c>
      <c r="D278" s="12" t="inlineStr">
        <is>
          <t>South</t>
        </is>
      </c>
      <c r="E278" s="12" t="inlineStr">
        <is>
          <t>Mobile</t>
        </is>
      </c>
      <c r="F278" s="12" t="inlineStr">
        <is>
          <t>Organic</t>
        </is>
      </c>
      <c r="G278" s="12" t="inlineStr">
        <is>
          <t>Basic</t>
        </is>
      </c>
      <c r="H278" s="12" t="n">
        <v>1</v>
      </c>
      <c r="I278" s="12" t="n">
        <v>1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/>
      <c r="P278" s="12" t="n">
        <v>49.6</v>
      </c>
    </row>
    <row r="279">
      <c r="A279" s="12" t="inlineStr">
        <is>
          <t>USR-100278</t>
        </is>
      </c>
      <c r="B279" s="29" t="n">
        <v>45676</v>
      </c>
      <c r="C279" s="12" t="inlineStr">
        <is>
          <t>Control</t>
        </is>
      </c>
      <c r="D279" s="12" t="inlineStr">
        <is>
          <t>North</t>
        </is>
      </c>
      <c r="E279" s="12" t="inlineStr">
        <is>
          <t>Mobile</t>
        </is>
      </c>
      <c r="F279" s="12" t="inlineStr">
        <is>
          <t>Email</t>
        </is>
      </c>
      <c r="G279" s="12" t="inlineStr">
        <is>
          <t>Free</t>
        </is>
      </c>
      <c r="H279" s="12" t="n">
        <v>1</v>
      </c>
      <c r="I279" s="12" t="n">
        <v>1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/>
      <c r="P279" s="12" t="n">
        <v>74.5</v>
      </c>
    </row>
    <row r="280">
      <c r="A280" s="12" t="inlineStr">
        <is>
          <t>USR-100279</t>
        </is>
      </c>
      <c r="B280" s="29" t="n">
        <v>45724</v>
      </c>
      <c r="C280" s="12" t="inlineStr">
        <is>
          <t>Control</t>
        </is>
      </c>
      <c r="D280" s="12" t="inlineStr">
        <is>
          <t>North</t>
        </is>
      </c>
      <c r="E280" s="12" t="inlineStr">
        <is>
          <t>Tablet</t>
        </is>
      </c>
      <c r="F280" s="12" t="inlineStr">
        <is>
          <t>Paid Search</t>
        </is>
      </c>
      <c r="G280" s="12" t="inlineStr">
        <is>
          <t>Premium</t>
        </is>
      </c>
      <c r="H280" s="12" t="n">
        <v>1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1</v>
      </c>
      <c r="N280" s="12" t="n">
        <v>0</v>
      </c>
      <c r="O280" s="12" t="n"/>
      <c r="P280" s="12" t="n">
        <v>46.9</v>
      </c>
    </row>
    <row r="281">
      <c r="A281" s="12" t="inlineStr">
        <is>
          <t>USR-100280</t>
        </is>
      </c>
      <c r="B281" s="29" t="n">
        <v>45772</v>
      </c>
      <c r="C281" s="12" t="inlineStr">
        <is>
          <t>Control</t>
        </is>
      </c>
      <c r="D281" s="12" t="inlineStr">
        <is>
          <t>North</t>
        </is>
      </c>
      <c r="E281" s="12" t="inlineStr">
        <is>
          <t>Mobile</t>
        </is>
      </c>
      <c r="F281" s="12" t="inlineStr">
        <is>
          <t>Organic</t>
        </is>
      </c>
      <c r="G281" s="12" t="inlineStr">
        <is>
          <t>Free</t>
        </is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/>
      <c r="P281" s="12" t="n">
        <v>87.09999999999999</v>
      </c>
    </row>
    <row r="282">
      <c r="A282" s="12" t="inlineStr">
        <is>
          <t>USR-100281</t>
        </is>
      </c>
      <c r="B282" s="29" t="n">
        <v>45751</v>
      </c>
      <c r="C282" s="12" t="inlineStr">
        <is>
          <t>Control</t>
        </is>
      </c>
      <c r="D282" s="12" t="inlineStr">
        <is>
          <t>North</t>
        </is>
      </c>
      <c r="E282" s="12" t="inlineStr">
        <is>
          <t>Desktop</t>
        </is>
      </c>
      <c r="F282" s="12" t="inlineStr">
        <is>
          <t>Organic</t>
        </is>
      </c>
      <c r="G282" s="12" t="inlineStr">
        <is>
          <t>Free</t>
        </is>
      </c>
      <c r="H282" s="12" t="n">
        <v>1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/>
      <c r="P282" s="12" t="n">
        <v>56</v>
      </c>
    </row>
    <row r="283">
      <c r="A283" s="12" t="inlineStr">
        <is>
          <t>USR-100282</t>
        </is>
      </c>
      <c r="B283" s="29" t="n">
        <v>45778</v>
      </c>
      <c r="C283" s="12" t="inlineStr">
        <is>
          <t>Control</t>
        </is>
      </c>
      <c r="D283" s="12" t="inlineStr">
        <is>
          <t>East</t>
        </is>
      </c>
      <c r="E283" s="12" t="inlineStr">
        <is>
          <t>Mobile</t>
        </is>
      </c>
      <c r="F283" s="12" t="inlineStr">
        <is>
          <t>Paid Search</t>
        </is>
      </c>
      <c r="G283" s="12" t="inlineStr">
        <is>
          <t>Premium</t>
        </is>
      </c>
      <c r="H283" s="12" t="n">
        <v>1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1</v>
      </c>
      <c r="N283" s="12" t="n">
        <v>0</v>
      </c>
      <c r="O283" s="12" t="n"/>
      <c r="P283" s="12" t="n">
        <v>61.7</v>
      </c>
    </row>
    <row r="284">
      <c r="A284" s="12" t="inlineStr">
        <is>
          <t>USR-100283</t>
        </is>
      </c>
      <c r="B284" s="29" t="n">
        <v>45678</v>
      </c>
      <c r="C284" s="12" t="inlineStr">
        <is>
          <t>Control</t>
        </is>
      </c>
      <c r="D284" s="12" t="inlineStr">
        <is>
          <t>South</t>
        </is>
      </c>
      <c r="E284" s="12" t="inlineStr">
        <is>
          <t>Mobile</t>
        </is>
      </c>
      <c r="F284" s="12" t="inlineStr">
        <is>
          <t>Social</t>
        </is>
      </c>
      <c r="G284" s="12" t="inlineStr">
        <is>
          <t>Free</t>
        </is>
      </c>
      <c r="H284" s="12" t="n">
        <v>1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1</v>
      </c>
      <c r="N284" s="12" t="n">
        <v>0</v>
      </c>
      <c r="O284" s="12" t="n"/>
      <c r="P284" s="12" t="n">
        <v>70.5</v>
      </c>
    </row>
    <row r="285">
      <c r="A285" s="12" t="inlineStr">
        <is>
          <t>USR-100284</t>
        </is>
      </c>
      <c r="B285" s="29" t="n">
        <v>45698</v>
      </c>
      <c r="C285" s="12" t="inlineStr">
        <is>
          <t>Control</t>
        </is>
      </c>
      <c r="D285" s="12" t="inlineStr">
        <is>
          <t>North</t>
        </is>
      </c>
      <c r="E285" s="12" t="inlineStr">
        <is>
          <t>Desktop</t>
        </is>
      </c>
      <c r="F285" s="12" t="inlineStr">
        <is>
          <t>Referral</t>
        </is>
      </c>
      <c r="G285" s="12" t="inlineStr">
        <is>
          <t>Basic</t>
        </is>
      </c>
      <c r="H285" s="12" t="n">
        <v>1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/>
      <c r="P285" s="12" t="n">
        <v>33.4</v>
      </c>
    </row>
    <row r="286">
      <c r="A286" s="12" t="inlineStr">
        <is>
          <t>USR-100285</t>
        </is>
      </c>
      <c r="B286" s="29" t="n">
        <v>45783</v>
      </c>
      <c r="C286" s="12" t="inlineStr">
        <is>
          <t>Control</t>
        </is>
      </c>
      <c r="D286" s="12" t="inlineStr">
        <is>
          <t>South</t>
        </is>
      </c>
      <c r="E286" s="12" t="inlineStr">
        <is>
          <t>Desktop</t>
        </is>
      </c>
      <c r="F286" s="12" t="inlineStr">
        <is>
          <t>Organic</t>
        </is>
      </c>
      <c r="G286" s="12" t="inlineStr">
        <is>
          <t>Free</t>
        </is>
      </c>
      <c r="H286" s="12" t="n">
        <v>1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/>
      <c r="P286" s="12" t="n">
        <v>57.5</v>
      </c>
    </row>
    <row r="287">
      <c r="A287" s="12" t="inlineStr">
        <is>
          <t>USR-100286</t>
        </is>
      </c>
      <c r="B287" s="29" t="n">
        <v>45696</v>
      </c>
      <c r="C287" s="12" t="inlineStr">
        <is>
          <t>Control</t>
        </is>
      </c>
      <c r="D287" s="12" t="inlineStr">
        <is>
          <t>North</t>
        </is>
      </c>
      <c r="E287" s="12" t="inlineStr">
        <is>
          <t>Desktop</t>
        </is>
      </c>
      <c r="F287" s="12" t="inlineStr">
        <is>
          <t>Paid Search</t>
        </is>
      </c>
      <c r="G287" s="12" t="inlineStr">
        <is>
          <t>Basic</t>
        </is>
      </c>
      <c r="H287" s="12" t="n">
        <v>1</v>
      </c>
      <c r="I287" s="12" t="n">
        <v>1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/>
      <c r="P287" s="12" t="n">
        <v>85.7</v>
      </c>
    </row>
    <row r="288">
      <c r="A288" s="12" t="inlineStr">
        <is>
          <t>USR-100287</t>
        </is>
      </c>
      <c r="B288" s="29" t="n">
        <v>45808</v>
      </c>
      <c r="C288" s="12" t="inlineStr">
        <is>
          <t>Control</t>
        </is>
      </c>
      <c r="D288" s="12" t="inlineStr">
        <is>
          <t>East</t>
        </is>
      </c>
      <c r="E288" s="12" t="inlineStr">
        <is>
          <t>Mobile</t>
        </is>
      </c>
      <c r="F288" s="12" t="inlineStr">
        <is>
          <t>Social</t>
        </is>
      </c>
      <c r="G288" s="12" t="inlineStr">
        <is>
          <t>Free</t>
        </is>
      </c>
      <c r="H288" s="12" t="n">
        <v>1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/>
      <c r="P288" s="12" t="n">
        <v>41.9</v>
      </c>
    </row>
    <row r="289">
      <c r="A289" s="12" t="inlineStr">
        <is>
          <t>USR-100288</t>
        </is>
      </c>
      <c r="B289" s="29" t="n">
        <v>45695</v>
      </c>
      <c r="C289" s="12" t="inlineStr">
        <is>
          <t>Control</t>
        </is>
      </c>
      <c r="D289" s="12" t="inlineStr">
        <is>
          <t>West</t>
        </is>
      </c>
      <c r="E289" s="12" t="inlineStr">
        <is>
          <t>Mobile</t>
        </is>
      </c>
      <c r="F289" s="12" t="inlineStr">
        <is>
          <t>Email</t>
        </is>
      </c>
      <c r="G289" s="12" t="inlineStr">
        <is>
          <t>Basic</t>
        </is>
      </c>
      <c r="H289" s="12" t="n">
        <v>1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/>
      <c r="P289" s="12" t="n">
        <v>70.2</v>
      </c>
    </row>
    <row r="290">
      <c r="A290" s="12" t="inlineStr">
        <is>
          <t>USR-100289</t>
        </is>
      </c>
      <c r="B290" s="29" t="n">
        <v>45698</v>
      </c>
      <c r="C290" s="12" t="inlineStr">
        <is>
          <t>Control</t>
        </is>
      </c>
      <c r="D290" s="12" t="inlineStr">
        <is>
          <t>North</t>
        </is>
      </c>
      <c r="E290" s="12" t="inlineStr">
        <is>
          <t>Mobile</t>
        </is>
      </c>
      <c r="F290" s="12" t="inlineStr">
        <is>
          <t>Social</t>
        </is>
      </c>
      <c r="G290" s="12" t="inlineStr">
        <is>
          <t>Free</t>
        </is>
      </c>
      <c r="H290" s="12" t="n">
        <v>1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/>
      <c r="P290" s="12" t="n">
        <v>42.6</v>
      </c>
    </row>
    <row r="291">
      <c r="A291" s="12" t="inlineStr">
        <is>
          <t>USR-100290</t>
        </is>
      </c>
      <c r="B291" s="29" t="n">
        <v>45688</v>
      </c>
      <c r="C291" s="12" t="inlineStr">
        <is>
          <t>Control</t>
        </is>
      </c>
      <c r="D291" s="12" t="inlineStr">
        <is>
          <t>West</t>
        </is>
      </c>
      <c r="E291" s="12" t="inlineStr">
        <is>
          <t>Mobile</t>
        </is>
      </c>
      <c r="F291" s="12" t="inlineStr">
        <is>
          <t>Social</t>
        </is>
      </c>
      <c r="G291" s="12" t="inlineStr">
        <is>
          <t>Basic</t>
        </is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2</v>
      </c>
      <c r="N291" s="12" t="n">
        <v>0</v>
      </c>
      <c r="O291" s="12" t="n"/>
      <c r="P291" s="12" t="n">
        <v>30.4</v>
      </c>
    </row>
    <row r="292">
      <c r="A292" s="12" t="inlineStr">
        <is>
          <t>USR-100291</t>
        </is>
      </c>
      <c r="B292" s="29" t="n">
        <v>45732</v>
      </c>
      <c r="C292" s="12" t="inlineStr">
        <is>
          <t>Control</t>
        </is>
      </c>
      <c r="D292" s="12" t="inlineStr">
        <is>
          <t>East</t>
        </is>
      </c>
      <c r="E292" s="12" t="inlineStr">
        <is>
          <t>Mobile</t>
        </is>
      </c>
      <c r="F292" s="12" t="inlineStr">
        <is>
          <t>Paid Search</t>
        </is>
      </c>
      <c r="G292" s="12" t="inlineStr">
        <is>
          <t>Basic</t>
        </is>
      </c>
      <c r="H292" s="12" t="n">
        <v>1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/>
      <c r="P292" s="12" t="n">
        <v>63.7</v>
      </c>
    </row>
    <row r="293">
      <c r="A293" s="12" t="inlineStr">
        <is>
          <t>USR-100292</t>
        </is>
      </c>
      <c r="B293" s="29" t="n">
        <v>45771</v>
      </c>
      <c r="C293" s="12" t="inlineStr">
        <is>
          <t>Control</t>
        </is>
      </c>
      <c r="D293" s="12" t="inlineStr">
        <is>
          <t>South</t>
        </is>
      </c>
      <c r="E293" s="12" t="inlineStr">
        <is>
          <t>Mobile</t>
        </is>
      </c>
      <c r="F293" s="12" t="inlineStr">
        <is>
          <t>Social</t>
        </is>
      </c>
      <c r="G293" s="12" t="inlineStr">
        <is>
          <t>Basic</t>
        </is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/>
      <c r="P293" s="12" t="n">
        <v>42.7</v>
      </c>
    </row>
    <row r="294">
      <c r="A294" s="12" t="inlineStr">
        <is>
          <t>USR-100293</t>
        </is>
      </c>
      <c r="B294" s="29" t="n">
        <v>45685</v>
      </c>
      <c r="C294" s="12" t="inlineStr">
        <is>
          <t>Control</t>
        </is>
      </c>
      <c r="D294" s="12" t="inlineStr">
        <is>
          <t>North</t>
        </is>
      </c>
      <c r="E294" s="12" t="inlineStr">
        <is>
          <t>Mobile</t>
        </is>
      </c>
      <c r="F294" s="12" t="inlineStr">
        <is>
          <t>Organic</t>
        </is>
      </c>
      <c r="G294" s="12" t="inlineStr">
        <is>
          <t>Free</t>
        </is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/>
      <c r="P294" s="12" t="n">
        <v>74.3</v>
      </c>
    </row>
    <row r="295">
      <c r="A295" s="12" t="inlineStr">
        <is>
          <t>USR-100294</t>
        </is>
      </c>
      <c r="B295" s="29" t="n">
        <v>45704</v>
      </c>
      <c r="C295" s="12" t="inlineStr">
        <is>
          <t>Control</t>
        </is>
      </c>
      <c r="D295" s="12" t="inlineStr">
        <is>
          <t>West</t>
        </is>
      </c>
      <c r="E295" s="12" t="inlineStr">
        <is>
          <t>Desktop</t>
        </is>
      </c>
      <c r="F295" s="12" t="inlineStr">
        <is>
          <t>Email</t>
        </is>
      </c>
      <c r="G295" s="12" t="inlineStr">
        <is>
          <t>Free</t>
        </is>
      </c>
      <c r="H295" s="12" t="n">
        <v>1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/>
      <c r="P295" s="12" t="n">
        <v>40.6</v>
      </c>
    </row>
    <row r="296">
      <c r="A296" s="12" t="inlineStr">
        <is>
          <t>USR-100295</t>
        </is>
      </c>
      <c r="B296" s="29" t="n">
        <v>45739</v>
      </c>
      <c r="C296" s="12" t="inlineStr">
        <is>
          <t>Control</t>
        </is>
      </c>
      <c r="D296" s="12" t="inlineStr">
        <is>
          <t>East</t>
        </is>
      </c>
      <c r="E296" s="12" t="inlineStr">
        <is>
          <t>Mobile</t>
        </is>
      </c>
      <c r="F296" s="12" t="inlineStr">
        <is>
          <t>Organic</t>
        </is>
      </c>
      <c r="G296" s="12" t="inlineStr">
        <is>
          <t>Premium</t>
        </is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/>
      <c r="P296" s="12" t="n">
        <v>67</v>
      </c>
    </row>
    <row r="297">
      <c r="A297" s="12" t="inlineStr">
        <is>
          <t>USR-100296</t>
        </is>
      </c>
      <c r="B297" s="29" t="n">
        <v>45808</v>
      </c>
      <c r="C297" s="12" t="inlineStr">
        <is>
          <t>Control</t>
        </is>
      </c>
      <c r="D297" s="12" t="inlineStr">
        <is>
          <t>East</t>
        </is>
      </c>
      <c r="E297" s="12" t="inlineStr">
        <is>
          <t>Mobile</t>
        </is>
      </c>
      <c r="F297" s="12" t="inlineStr">
        <is>
          <t>Paid Search</t>
        </is>
      </c>
      <c r="G297" s="12" t="inlineStr">
        <is>
          <t>Premium</t>
        </is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/>
      <c r="P297" s="12" t="n">
        <v>51</v>
      </c>
    </row>
    <row r="298">
      <c r="A298" s="12" t="inlineStr">
        <is>
          <t>USR-100297</t>
        </is>
      </c>
      <c r="B298" s="29" t="n">
        <v>45760</v>
      </c>
      <c r="C298" s="12" t="inlineStr">
        <is>
          <t>Control</t>
        </is>
      </c>
      <c r="D298" s="12" t="inlineStr">
        <is>
          <t>West</t>
        </is>
      </c>
      <c r="E298" s="12" t="inlineStr">
        <is>
          <t>Mobile</t>
        </is>
      </c>
      <c r="F298" s="12" t="inlineStr">
        <is>
          <t>Social</t>
        </is>
      </c>
      <c r="G298" s="12" t="inlineStr">
        <is>
          <t>Basic</t>
        </is>
      </c>
      <c r="H298" s="12" t="n">
        <v>1</v>
      </c>
      <c r="I298" s="12" t="n">
        <v>1</v>
      </c>
      <c r="J298" s="12" t="n">
        <v>0</v>
      </c>
      <c r="K298" s="12" t="n">
        <v>0</v>
      </c>
      <c r="L298" s="12" t="n">
        <v>0</v>
      </c>
      <c r="M298" s="12" t="n">
        <v>1</v>
      </c>
      <c r="N298" s="12" t="n">
        <v>0</v>
      </c>
      <c r="O298" s="12" t="n"/>
      <c r="P298" s="12" t="n">
        <v>54.8</v>
      </c>
    </row>
    <row r="299">
      <c r="A299" s="12" t="inlineStr">
        <is>
          <t>USR-100298</t>
        </is>
      </c>
      <c r="B299" s="29" t="n">
        <v>45791</v>
      </c>
      <c r="C299" s="12" t="inlineStr">
        <is>
          <t>Control</t>
        </is>
      </c>
      <c r="D299" s="12" t="inlineStr">
        <is>
          <t>North</t>
        </is>
      </c>
      <c r="E299" s="12" t="inlineStr">
        <is>
          <t>Tablet</t>
        </is>
      </c>
      <c r="F299" s="12" t="inlineStr">
        <is>
          <t>Email</t>
        </is>
      </c>
      <c r="G299" s="12" t="inlineStr">
        <is>
          <t>Basic</t>
        </is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/>
      <c r="P299" s="12" t="n">
        <v>40.8</v>
      </c>
    </row>
    <row r="300">
      <c r="A300" s="12" t="inlineStr">
        <is>
          <t>USR-100299</t>
        </is>
      </c>
      <c r="B300" s="29" t="n">
        <v>45707</v>
      </c>
      <c r="C300" s="12" t="inlineStr">
        <is>
          <t>Control</t>
        </is>
      </c>
      <c r="D300" s="12" t="inlineStr">
        <is>
          <t>East</t>
        </is>
      </c>
      <c r="E300" s="12" t="inlineStr">
        <is>
          <t>Mobile</t>
        </is>
      </c>
      <c r="F300" s="12" t="inlineStr">
        <is>
          <t>Paid Search</t>
        </is>
      </c>
      <c r="G300" s="12" t="inlineStr">
        <is>
          <t>Free</t>
        </is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/>
      <c r="P300" s="12" t="n">
        <v>48.8</v>
      </c>
    </row>
    <row r="301">
      <c r="A301" s="12" t="inlineStr">
        <is>
          <t>USR-100300</t>
        </is>
      </c>
      <c r="B301" s="29" t="n">
        <v>45681</v>
      </c>
      <c r="C301" s="12" t="inlineStr">
        <is>
          <t>Control</t>
        </is>
      </c>
      <c r="D301" s="12" t="inlineStr">
        <is>
          <t>South</t>
        </is>
      </c>
      <c r="E301" s="12" t="inlineStr">
        <is>
          <t>Mobile</t>
        </is>
      </c>
      <c r="F301" s="12" t="n"/>
      <c r="G301" s="12" t="inlineStr">
        <is>
          <t>Basic</t>
        </is>
      </c>
      <c r="H301" s="12" t="n">
        <v>1</v>
      </c>
      <c r="I301" s="12" t="n">
        <v>1</v>
      </c>
      <c r="J301" s="12" t="n">
        <v>1</v>
      </c>
      <c r="K301" s="12" t="n">
        <v>1</v>
      </c>
      <c r="L301" s="12" t="n">
        <v>1198.69</v>
      </c>
      <c r="M301" s="12" t="n">
        <v>1</v>
      </c>
      <c r="N301" s="12" t="n">
        <v>0</v>
      </c>
      <c r="O301" s="12" t="n">
        <v>6</v>
      </c>
      <c r="P301" s="12" t="n">
        <v>88.90000000000001</v>
      </c>
    </row>
    <row r="302">
      <c r="A302" s="12" t="inlineStr">
        <is>
          <t>USR-100301</t>
        </is>
      </c>
      <c r="B302" s="29" t="n">
        <v>45786</v>
      </c>
      <c r="C302" s="12" t="inlineStr">
        <is>
          <t>Control</t>
        </is>
      </c>
      <c r="D302" s="12" t="inlineStr">
        <is>
          <t>North</t>
        </is>
      </c>
      <c r="E302" s="12" t="inlineStr">
        <is>
          <t>Mobile</t>
        </is>
      </c>
      <c r="F302" s="12" t="inlineStr">
        <is>
          <t>Email</t>
        </is>
      </c>
      <c r="G302" s="12" t="inlineStr">
        <is>
          <t>Basic</t>
        </is>
      </c>
      <c r="H302" s="12" t="n">
        <v>1</v>
      </c>
      <c r="I302" s="12" t="n">
        <v>1</v>
      </c>
      <c r="J302" s="12" t="n">
        <v>1</v>
      </c>
      <c r="K302" s="12" t="n">
        <v>0</v>
      </c>
      <c r="L302" s="12" t="n">
        <v>0</v>
      </c>
      <c r="M302" s="12" t="n">
        <v>1</v>
      </c>
      <c r="N302" s="12" t="n">
        <v>0</v>
      </c>
      <c r="O302" s="12" t="n"/>
      <c r="P302" s="12" t="n">
        <v>60.5</v>
      </c>
    </row>
    <row r="303">
      <c r="A303" s="12" t="inlineStr">
        <is>
          <t>USR-100302</t>
        </is>
      </c>
      <c r="B303" s="29" t="n">
        <v>45699</v>
      </c>
      <c r="C303" s="12" t="inlineStr">
        <is>
          <t>Control</t>
        </is>
      </c>
      <c r="D303" s="12" t="inlineStr">
        <is>
          <t>North</t>
        </is>
      </c>
      <c r="E303" s="12" t="inlineStr">
        <is>
          <t>Mobile</t>
        </is>
      </c>
      <c r="F303" s="12" t="inlineStr">
        <is>
          <t>Organic</t>
        </is>
      </c>
      <c r="G303" s="12" t="inlineStr">
        <is>
          <t>Basic</t>
        </is>
      </c>
      <c r="H303" s="12" t="n">
        <v>1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/>
      <c r="P303" s="12" t="n">
        <v>63.6</v>
      </c>
    </row>
    <row r="304">
      <c r="A304" s="12" t="inlineStr">
        <is>
          <t>USR-100303</t>
        </is>
      </c>
      <c r="B304" s="29" t="n">
        <v>45714</v>
      </c>
      <c r="C304" s="12" t="inlineStr">
        <is>
          <t>Control</t>
        </is>
      </c>
      <c r="D304" s="12" t="inlineStr">
        <is>
          <t>North</t>
        </is>
      </c>
      <c r="E304" s="12" t="inlineStr">
        <is>
          <t>Desktop</t>
        </is>
      </c>
      <c r="F304" s="12" t="inlineStr">
        <is>
          <t>Organic</t>
        </is>
      </c>
      <c r="G304" s="12" t="inlineStr">
        <is>
          <t>Basic</t>
        </is>
      </c>
      <c r="H304" s="12" t="n">
        <v>1</v>
      </c>
      <c r="I304" s="12" t="n">
        <v>1</v>
      </c>
      <c r="J304" s="12" t="n">
        <v>1</v>
      </c>
      <c r="K304" s="12" t="n">
        <v>1</v>
      </c>
      <c r="L304" s="12" t="n">
        <v>6788.95</v>
      </c>
      <c r="M304" s="12" t="n">
        <v>0</v>
      </c>
      <c r="N304" s="12" t="n">
        <v>0</v>
      </c>
      <c r="O304" s="12" t="n">
        <v>17</v>
      </c>
      <c r="P304" s="12" t="n">
        <v>58.4</v>
      </c>
    </row>
    <row r="305">
      <c r="A305" s="12" t="inlineStr">
        <is>
          <t>USR-100304</t>
        </is>
      </c>
      <c r="B305" s="29" t="n">
        <v>45700</v>
      </c>
      <c r="C305" s="12" t="inlineStr">
        <is>
          <t>Control</t>
        </is>
      </c>
      <c r="D305" s="12" t="inlineStr">
        <is>
          <t>South</t>
        </is>
      </c>
      <c r="E305" s="12" t="inlineStr">
        <is>
          <t>Mobile</t>
        </is>
      </c>
      <c r="F305" s="12" t="inlineStr">
        <is>
          <t>Social</t>
        </is>
      </c>
      <c r="G305" s="12" t="inlineStr">
        <is>
          <t>Premium</t>
        </is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/>
      <c r="P305" s="12" t="n">
        <v>52.7</v>
      </c>
    </row>
    <row r="306">
      <c r="A306" s="12" t="inlineStr">
        <is>
          <t>USR-100305</t>
        </is>
      </c>
      <c r="B306" s="29" t="n">
        <v>45662</v>
      </c>
      <c r="C306" s="12" t="inlineStr">
        <is>
          <t>Control</t>
        </is>
      </c>
      <c r="D306" s="12" t="inlineStr">
        <is>
          <t>South</t>
        </is>
      </c>
      <c r="E306" s="12" t="inlineStr">
        <is>
          <t>Tablet</t>
        </is>
      </c>
      <c r="F306" s="12" t="inlineStr">
        <is>
          <t>Social</t>
        </is>
      </c>
      <c r="G306" s="12" t="inlineStr">
        <is>
          <t>Premium</t>
        </is>
      </c>
      <c r="H306" s="12" t="n">
        <v>1</v>
      </c>
      <c r="I306" s="12" t="n">
        <v>1</v>
      </c>
      <c r="J306" s="12" t="n">
        <v>1</v>
      </c>
      <c r="K306" s="12" t="n">
        <v>0</v>
      </c>
      <c r="L306" s="12" t="n">
        <v>0</v>
      </c>
      <c r="M306" s="12" t="n">
        <v>2</v>
      </c>
      <c r="N306" s="12" t="n">
        <v>0</v>
      </c>
      <c r="O306" s="12" t="n"/>
      <c r="P306" s="12" t="n">
        <v>48.9</v>
      </c>
    </row>
    <row r="307">
      <c r="A307" s="12" t="inlineStr">
        <is>
          <t>USR-100306</t>
        </is>
      </c>
      <c r="B307" s="29" t="n">
        <v>45796</v>
      </c>
      <c r="C307" s="12" t="inlineStr">
        <is>
          <t>Control</t>
        </is>
      </c>
      <c r="D307" s="12" t="inlineStr">
        <is>
          <t>West</t>
        </is>
      </c>
      <c r="E307" s="12" t="inlineStr">
        <is>
          <t>Mobile</t>
        </is>
      </c>
      <c r="F307" s="12" t="inlineStr">
        <is>
          <t>Organic</t>
        </is>
      </c>
      <c r="G307" s="12" t="inlineStr">
        <is>
          <t>Premium</t>
        </is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/>
      <c r="P307" s="12" t="n">
        <v>79.7</v>
      </c>
    </row>
    <row r="308">
      <c r="A308" s="12" t="inlineStr">
        <is>
          <t>USR-100307</t>
        </is>
      </c>
      <c r="B308" s="29" t="n">
        <v>45690</v>
      </c>
      <c r="C308" s="12" t="inlineStr">
        <is>
          <t>Control</t>
        </is>
      </c>
      <c r="D308" s="12" t="inlineStr">
        <is>
          <t>North</t>
        </is>
      </c>
      <c r="E308" s="12" t="inlineStr">
        <is>
          <t>Mobile</t>
        </is>
      </c>
      <c r="F308" s="12" t="inlineStr">
        <is>
          <t>Social</t>
        </is>
      </c>
      <c r="G308" s="12" t="inlineStr">
        <is>
          <t>Free</t>
        </is>
      </c>
      <c r="H308" s="12" t="n">
        <v>1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/>
      <c r="P308" s="12" t="n">
        <v>44.9</v>
      </c>
    </row>
    <row r="309">
      <c r="A309" s="12" t="inlineStr">
        <is>
          <t>USR-100308</t>
        </is>
      </c>
      <c r="B309" s="29" t="n">
        <v>45687</v>
      </c>
      <c r="C309" s="12" t="inlineStr">
        <is>
          <t>Control</t>
        </is>
      </c>
      <c r="D309" s="12" t="inlineStr">
        <is>
          <t>West</t>
        </is>
      </c>
      <c r="E309" s="12" t="inlineStr">
        <is>
          <t>Tablet</t>
        </is>
      </c>
      <c r="F309" s="12" t="inlineStr">
        <is>
          <t>Paid Search</t>
        </is>
      </c>
      <c r="G309" s="12" t="inlineStr">
        <is>
          <t>Free</t>
        </is>
      </c>
      <c r="H309" s="12" t="n">
        <v>1</v>
      </c>
      <c r="I309" s="12" t="n">
        <v>1</v>
      </c>
      <c r="J309" s="12" t="n">
        <v>1</v>
      </c>
      <c r="K309" s="12" t="n">
        <v>1</v>
      </c>
      <c r="L309" s="12" t="n">
        <v>409.39</v>
      </c>
      <c r="M309" s="12" t="n">
        <v>0</v>
      </c>
      <c r="N309" s="12" t="n">
        <v>0</v>
      </c>
      <c r="O309" s="12" t="n">
        <v>10</v>
      </c>
      <c r="P309" s="12" t="n">
        <v>38.8</v>
      </c>
    </row>
    <row r="310">
      <c r="A310" s="12" t="inlineStr">
        <is>
          <t>USR-100309</t>
        </is>
      </c>
      <c r="B310" s="29" t="n">
        <v>45778</v>
      </c>
      <c r="C310" s="12" t="inlineStr">
        <is>
          <t>Control</t>
        </is>
      </c>
      <c r="D310" s="12" t="inlineStr">
        <is>
          <t>South</t>
        </is>
      </c>
      <c r="E310" s="12" t="inlineStr">
        <is>
          <t>Desktop</t>
        </is>
      </c>
      <c r="F310" s="12" t="inlineStr">
        <is>
          <t>Email</t>
        </is>
      </c>
      <c r="G310" s="12" t="inlineStr">
        <is>
          <t>Free</t>
        </is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/>
      <c r="P310" s="12" t="n">
        <v>70</v>
      </c>
    </row>
    <row r="311">
      <c r="A311" s="12" t="inlineStr">
        <is>
          <t>USR-100310</t>
        </is>
      </c>
      <c r="B311" s="29" t="n">
        <v>45793</v>
      </c>
      <c r="C311" s="12" t="inlineStr">
        <is>
          <t>Control</t>
        </is>
      </c>
      <c r="D311" s="12" t="inlineStr">
        <is>
          <t>South</t>
        </is>
      </c>
      <c r="E311" s="12" t="inlineStr">
        <is>
          <t>Desktop</t>
        </is>
      </c>
      <c r="F311" s="12" t="inlineStr">
        <is>
          <t>Referral</t>
        </is>
      </c>
      <c r="G311" s="12" t="inlineStr">
        <is>
          <t>Basic</t>
        </is>
      </c>
      <c r="H311" s="12" t="n">
        <v>1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/>
      <c r="P311" s="12" t="n">
        <v>77.7</v>
      </c>
    </row>
    <row r="312">
      <c r="A312" s="12" t="inlineStr">
        <is>
          <t>USR-100311</t>
        </is>
      </c>
      <c r="B312" s="29" t="n">
        <v>45724</v>
      </c>
      <c r="C312" s="12" t="inlineStr">
        <is>
          <t>Control</t>
        </is>
      </c>
      <c r="D312" s="12" t="inlineStr">
        <is>
          <t>West</t>
        </is>
      </c>
      <c r="E312" s="12" t="inlineStr">
        <is>
          <t>Mobile</t>
        </is>
      </c>
      <c r="F312" s="12" t="inlineStr">
        <is>
          <t>Organic</t>
        </is>
      </c>
      <c r="G312" s="12" t="inlineStr">
        <is>
          <t>Free</t>
        </is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/>
      <c r="P312" s="12" t="n">
        <v>71.2</v>
      </c>
    </row>
    <row r="313">
      <c r="A313" s="12" t="inlineStr">
        <is>
          <t>USR-100312</t>
        </is>
      </c>
      <c r="B313" s="29" t="n">
        <v>45751</v>
      </c>
      <c r="C313" s="12" t="inlineStr">
        <is>
          <t>Control</t>
        </is>
      </c>
      <c r="D313" s="12" t="inlineStr">
        <is>
          <t>North</t>
        </is>
      </c>
      <c r="E313" s="12" t="inlineStr">
        <is>
          <t>Mobile</t>
        </is>
      </c>
      <c r="F313" s="12" t="inlineStr">
        <is>
          <t>Organic</t>
        </is>
      </c>
      <c r="G313" s="12" t="inlineStr">
        <is>
          <t>Basic</t>
        </is>
      </c>
      <c r="H313" s="12" t="n">
        <v>1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/>
      <c r="P313" s="12" t="n">
        <v>43.8</v>
      </c>
    </row>
    <row r="314">
      <c r="A314" s="12" t="inlineStr">
        <is>
          <t>USR-100313</t>
        </is>
      </c>
      <c r="B314" s="29" t="n">
        <v>45807</v>
      </c>
      <c r="C314" s="12" t="inlineStr">
        <is>
          <t>Control</t>
        </is>
      </c>
      <c r="D314" s="12" t="inlineStr">
        <is>
          <t>South</t>
        </is>
      </c>
      <c r="E314" s="12" t="inlineStr">
        <is>
          <t>Tablet</t>
        </is>
      </c>
      <c r="F314" s="12" t="inlineStr">
        <is>
          <t>Organic</t>
        </is>
      </c>
      <c r="G314" s="12" t="inlineStr">
        <is>
          <t>Free</t>
        </is>
      </c>
      <c r="H314" s="12" t="n">
        <v>1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/>
      <c r="P314" s="12" t="n">
        <v>50.9</v>
      </c>
    </row>
    <row r="315">
      <c r="A315" s="12" t="inlineStr">
        <is>
          <t>USR-100314</t>
        </is>
      </c>
      <c r="B315" s="29" t="n">
        <v>45662</v>
      </c>
      <c r="C315" s="12" t="inlineStr">
        <is>
          <t>Control</t>
        </is>
      </c>
      <c r="D315" s="12" t="inlineStr">
        <is>
          <t>West</t>
        </is>
      </c>
      <c r="E315" s="12" t="inlineStr">
        <is>
          <t>Mobile</t>
        </is>
      </c>
      <c r="F315" s="12" t="inlineStr">
        <is>
          <t>Organic</t>
        </is>
      </c>
      <c r="G315" s="12" t="inlineStr">
        <is>
          <t>Premium</t>
        </is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/>
      <c r="P315" s="12" t="n">
        <v>58.5</v>
      </c>
    </row>
    <row r="316">
      <c r="A316" s="12" t="inlineStr">
        <is>
          <t>USR-100315</t>
        </is>
      </c>
      <c r="B316" s="29" t="n">
        <v>45677</v>
      </c>
      <c r="C316" s="12" t="inlineStr">
        <is>
          <t>Control</t>
        </is>
      </c>
      <c r="D316" s="12" t="inlineStr">
        <is>
          <t>East</t>
        </is>
      </c>
      <c r="E316" s="12" t="inlineStr">
        <is>
          <t>Mobile</t>
        </is>
      </c>
      <c r="F316" s="12" t="inlineStr">
        <is>
          <t>Organic</t>
        </is>
      </c>
      <c r="G316" s="12" t="inlineStr">
        <is>
          <t>Free</t>
        </is>
      </c>
      <c r="H316" s="12" t="n">
        <v>1</v>
      </c>
      <c r="I316" s="12" t="n">
        <v>1</v>
      </c>
      <c r="J316" s="12" t="n">
        <v>1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/>
      <c r="P316" s="12" t="n">
        <v>53.6</v>
      </c>
    </row>
    <row r="317">
      <c r="A317" s="12" t="inlineStr">
        <is>
          <t>USR-100316</t>
        </is>
      </c>
      <c r="B317" s="29" t="n">
        <v>45778</v>
      </c>
      <c r="C317" s="12" t="inlineStr">
        <is>
          <t>Control</t>
        </is>
      </c>
      <c r="D317" s="12" t="inlineStr">
        <is>
          <t>East</t>
        </is>
      </c>
      <c r="E317" s="12" t="inlineStr">
        <is>
          <t>Mobile</t>
        </is>
      </c>
      <c r="F317" s="12" t="inlineStr">
        <is>
          <t>Email</t>
        </is>
      </c>
      <c r="G317" s="12" t="inlineStr">
        <is>
          <t>Free</t>
        </is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/>
      <c r="P317" s="12" t="n">
        <v>54.9</v>
      </c>
    </row>
    <row r="318">
      <c r="A318" s="12" t="inlineStr">
        <is>
          <t>USR-100317</t>
        </is>
      </c>
      <c r="B318" s="29" t="n">
        <v>45721</v>
      </c>
      <c r="C318" s="12" t="inlineStr">
        <is>
          <t>Control</t>
        </is>
      </c>
      <c r="D318" s="12" t="inlineStr">
        <is>
          <t>North</t>
        </is>
      </c>
      <c r="E318" s="12" t="inlineStr">
        <is>
          <t>Desktop</t>
        </is>
      </c>
      <c r="F318" s="12" t="inlineStr">
        <is>
          <t>Organic</t>
        </is>
      </c>
      <c r="G318" s="12" t="inlineStr">
        <is>
          <t>Premium</t>
        </is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/>
      <c r="P318" s="12" t="n">
        <v>57.3</v>
      </c>
    </row>
    <row r="319">
      <c r="A319" s="12" t="inlineStr">
        <is>
          <t>USR-100318</t>
        </is>
      </c>
      <c r="B319" s="29" t="n">
        <v>45748</v>
      </c>
      <c r="C319" s="12" t="inlineStr">
        <is>
          <t>Control</t>
        </is>
      </c>
      <c r="D319" s="12" t="inlineStr">
        <is>
          <t>East</t>
        </is>
      </c>
      <c r="E319" s="12" t="inlineStr">
        <is>
          <t>Desktop</t>
        </is>
      </c>
      <c r="F319" s="12" t="inlineStr">
        <is>
          <t>Referral</t>
        </is>
      </c>
      <c r="G319" s="12" t="inlineStr">
        <is>
          <t>Free</t>
        </is>
      </c>
      <c r="H319" s="12" t="n">
        <v>1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/>
      <c r="P319" s="12" t="n">
        <v>52.1</v>
      </c>
    </row>
    <row r="320">
      <c r="A320" s="12" t="inlineStr">
        <is>
          <t>USR-100319</t>
        </is>
      </c>
      <c r="B320" s="29" t="n">
        <v>45780</v>
      </c>
      <c r="C320" s="12" t="inlineStr">
        <is>
          <t>Control</t>
        </is>
      </c>
      <c r="D320" s="12" t="inlineStr">
        <is>
          <t>North</t>
        </is>
      </c>
      <c r="E320" s="12" t="inlineStr">
        <is>
          <t>Mobile</t>
        </is>
      </c>
      <c r="F320" s="12" t="inlineStr">
        <is>
          <t>Organic</t>
        </is>
      </c>
      <c r="G320" s="12" t="inlineStr">
        <is>
          <t>Free</t>
        </is>
      </c>
      <c r="H320" s="12" t="n">
        <v>1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/>
      <c r="P320" s="12" t="n">
        <v>80</v>
      </c>
    </row>
    <row r="321">
      <c r="A321" s="12" t="inlineStr">
        <is>
          <t>USR-100320</t>
        </is>
      </c>
      <c r="B321" s="29" t="n">
        <v>45722</v>
      </c>
      <c r="C321" s="12" t="inlineStr">
        <is>
          <t>Control</t>
        </is>
      </c>
      <c r="D321" s="12" t="inlineStr">
        <is>
          <t>South</t>
        </is>
      </c>
      <c r="E321" s="12" t="inlineStr">
        <is>
          <t>Desktop</t>
        </is>
      </c>
      <c r="F321" s="12" t="inlineStr">
        <is>
          <t>Paid Search</t>
        </is>
      </c>
      <c r="G321" s="12" t="inlineStr">
        <is>
          <t>Premium</t>
        </is>
      </c>
      <c r="H321" s="12" t="n">
        <v>1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/>
      <c r="P321" s="12" t="n">
        <v>39.3</v>
      </c>
    </row>
    <row r="322">
      <c r="A322" s="12" t="inlineStr">
        <is>
          <t>USR-100321</t>
        </is>
      </c>
      <c r="B322" s="29" t="n">
        <v>45748</v>
      </c>
      <c r="C322" s="12" t="inlineStr">
        <is>
          <t>Control</t>
        </is>
      </c>
      <c r="D322" s="12" t="inlineStr">
        <is>
          <t>North</t>
        </is>
      </c>
      <c r="E322" s="12" t="inlineStr">
        <is>
          <t>Desktop</t>
        </is>
      </c>
      <c r="F322" s="12" t="inlineStr">
        <is>
          <t>Referral</t>
        </is>
      </c>
      <c r="G322" s="12" t="inlineStr">
        <is>
          <t>Premium</t>
        </is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/>
      <c r="P322" s="12" t="n">
        <v>45.7</v>
      </c>
    </row>
    <row r="323">
      <c r="A323" s="12" t="inlineStr">
        <is>
          <t>USR-100322</t>
        </is>
      </c>
      <c r="B323" s="29" t="n">
        <v>45697</v>
      </c>
      <c r="C323" s="12" t="inlineStr">
        <is>
          <t>Control</t>
        </is>
      </c>
      <c r="D323" s="12" t="inlineStr">
        <is>
          <t>North</t>
        </is>
      </c>
      <c r="E323" s="12" t="inlineStr">
        <is>
          <t>Desktop</t>
        </is>
      </c>
      <c r="F323" s="12" t="inlineStr">
        <is>
          <t>Social</t>
        </is>
      </c>
      <c r="G323" s="12" t="inlineStr">
        <is>
          <t>Basic</t>
        </is>
      </c>
      <c r="H323" s="12" t="n">
        <v>1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2</v>
      </c>
      <c r="N323" s="12" t="n">
        <v>0</v>
      </c>
      <c r="O323" s="12" t="n"/>
      <c r="P323" s="12" t="n">
        <v>61.2</v>
      </c>
    </row>
    <row r="324">
      <c r="A324" s="12" t="inlineStr">
        <is>
          <t>USR-100323</t>
        </is>
      </c>
      <c r="B324" s="29" t="n">
        <v>45759</v>
      </c>
      <c r="C324" s="12" t="inlineStr">
        <is>
          <t>Control</t>
        </is>
      </c>
      <c r="D324" s="12" t="inlineStr">
        <is>
          <t>West</t>
        </is>
      </c>
      <c r="E324" s="12" t="inlineStr">
        <is>
          <t>Mobile</t>
        </is>
      </c>
      <c r="F324" s="12" t="inlineStr">
        <is>
          <t>Organic</t>
        </is>
      </c>
      <c r="G324" s="12" t="inlineStr">
        <is>
          <t>Basic</t>
        </is>
      </c>
      <c r="H324" s="12" t="n">
        <v>1</v>
      </c>
      <c r="I324" s="12" t="n">
        <v>1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/>
      <c r="P324" s="12" t="n">
        <v>66.2</v>
      </c>
    </row>
    <row r="325">
      <c r="A325" s="12" t="inlineStr">
        <is>
          <t>USR-100324</t>
        </is>
      </c>
      <c r="B325" s="29" t="n">
        <v>45734</v>
      </c>
      <c r="C325" s="12" t="inlineStr">
        <is>
          <t>Control</t>
        </is>
      </c>
      <c r="D325" s="12" t="inlineStr">
        <is>
          <t>East</t>
        </is>
      </c>
      <c r="E325" s="12" t="inlineStr">
        <is>
          <t>Mobile</t>
        </is>
      </c>
      <c r="F325" s="12" t="inlineStr">
        <is>
          <t>Social</t>
        </is>
      </c>
      <c r="G325" s="12" t="inlineStr">
        <is>
          <t>Free</t>
        </is>
      </c>
      <c r="H325" s="12" t="n">
        <v>1</v>
      </c>
      <c r="I325" s="12" t="n">
        <v>1</v>
      </c>
      <c r="J325" s="12" t="n">
        <v>1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/>
      <c r="P325" s="12" t="n">
        <v>61.3</v>
      </c>
    </row>
    <row r="326">
      <c r="A326" s="12" t="inlineStr">
        <is>
          <t>USR-100325</t>
        </is>
      </c>
      <c r="B326" s="29" t="n">
        <v>45750</v>
      </c>
      <c r="C326" s="12" t="inlineStr">
        <is>
          <t>Control</t>
        </is>
      </c>
      <c r="D326" s="12" t="inlineStr">
        <is>
          <t>East</t>
        </is>
      </c>
      <c r="E326" s="12" t="inlineStr">
        <is>
          <t>Mobile</t>
        </is>
      </c>
      <c r="F326" s="12" t="inlineStr">
        <is>
          <t>Paid Search</t>
        </is>
      </c>
      <c r="G326" s="12" t="inlineStr">
        <is>
          <t>Free</t>
        </is>
      </c>
      <c r="H326" s="12" t="n">
        <v>1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/>
      <c r="P326" s="12" t="n">
        <v>72.2</v>
      </c>
    </row>
    <row r="327">
      <c r="A327" s="12" t="inlineStr">
        <is>
          <t>USR-100326</t>
        </is>
      </c>
      <c r="B327" s="29" t="n">
        <v>45749</v>
      </c>
      <c r="C327" s="12" t="inlineStr">
        <is>
          <t>Control</t>
        </is>
      </c>
      <c r="D327" s="12" t="inlineStr">
        <is>
          <t>West</t>
        </is>
      </c>
      <c r="E327" s="12" t="inlineStr">
        <is>
          <t>Mobile</t>
        </is>
      </c>
      <c r="F327" s="12" t="inlineStr">
        <is>
          <t>Email</t>
        </is>
      </c>
      <c r="G327" s="12" t="inlineStr">
        <is>
          <t>Premium</t>
        </is>
      </c>
      <c r="H327" s="12" t="n">
        <v>1</v>
      </c>
      <c r="I327" s="12" t="n">
        <v>1</v>
      </c>
      <c r="J327" s="12" t="n">
        <v>1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/>
      <c r="P327" s="12" t="n">
        <v>84</v>
      </c>
    </row>
    <row r="328">
      <c r="A328" s="12" t="inlineStr">
        <is>
          <t>USR-100327</t>
        </is>
      </c>
      <c r="B328" s="29" t="n">
        <v>45787</v>
      </c>
      <c r="C328" s="12" t="inlineStr">
        <is>
          <t>Control</t>
        </is>
      </c>
      <c r="D328" s="12" t="inlineStr">
        <is>
          <t>West</t>
        </is>
      </c>
      <c r="E328" s="12" t="inlineStr">
        <is>
          <t>Desktop</t>
        </is>
      </c>
      <c r="F328" s="12" t="inlineStr">
        <is>
          <t>Email</t>
        </is>
      </c>
      <c r="G328" s="12" t="inlineStr">
        <is>
          <t>Basic</t>
        </is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/>
      <c r="P328" s="12" t="n">
        <v>59.8</v>
      </c>
    </row>
    <row r="329">
      <c r="A329" s="12" t="inlineStr">
        <is>
          <t>USR-100328</t>
        </is>
      </c>
      <c r="B329" s="29" t="n">
        <v>45776</v>
      </c>
      <c r="C329" s="12" t="inlineStr">
        <is>
          <t>Control</t>
        </is>
      </c>
      <c r="D329" s="12" t="inlineStr">
        <is>
          <t>West</t>
        </is>
      </c>
      <c r="E329" s="12" t="inlineStr">
        <is>
          <t>Desktop</t>
        </is>
      </c>
      <c r="F329" s="12" t="inlineStr">
        <is>
          <t>Paid Search</t>
        </is>
      </c>
      <c r="G329" s="12" t="inlineStr">
        <is>
          <t>Free</t>
        </is>
      </c>
      <c r="H329" s="12" t="n">
        <v>1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/>
      <c r="P329" s="12" t="n">
        <v>64.90000000000001</v>
      </c>
    </row>
    <row r="330">
      <c r="A330" s="12" t="inlineStr">
        <is>
          <t>USR-100329</t>
        </is>
      </c>
      <c r="B330" s="29" t="n">
        <v>45715</v>
      </c>
      <c r="C330" s="12" t="inlineStr">
        <is>
          <t>Control</t>
        </is>
      </c>
      <c r="D330" s="12" t="inlineStr">
        <is>
          <t>South</t>
        </is>
      </c>
      <c r="E330" s="12" t="inlineStr">
        <is>
          <t>Mobile</t>
        </is>
      </c>
      <c r="F330" s="12" t="inlineStr">
        <is>
          <t>Paid Search</t>
        </is>
      </c>
      <c r="G330" s="12" t="inlineStr">
        <is>
          <t>Free</t>
        </is>
      </c>
      <c r="H330" s="12" t="n">
        <v>1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/>
      <c r="P330" s="12" t="n">
        <v>66.8</v>
      </c>
    </row>
    <row r="331">
      <c r="A331" s="12" t="inlineStr">
        <is>
          <t>USR-100330</t>
        </is>
      </c>
      <c r="B331" s="29" t="n">
        <v>45757</v>
      </c>
      <c r="C331" s="12" t="inlineStr">
        <is>
          <t>Control</t>
        </is>
      </c>
      <c r="D331" s="12" t="inlineStr">
        <is>
          <t>North</t>
        </is>
      </c>
      <c r="E331" s="12" t="inlineStr">
        <is>
          <t>Desktop</t>
        </is>
      </c>
      <c r="F331" s="12" t="inlineStr">
        <is>
          <t>Organic</t>
        </is>
      </c>
      <c r="G331" s="12" t="inlineStr">
        <is>
          <t>Premium</t>
        </is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/>
      <c r="P331" s="12" t="n">
        <v>70.90000000000001</v>
      </c>
    </row>
    <row r="332">
      <c r="A332" s="12" t="inlineStr">
        <is>
          <t>USR-100331</t>
        </is>
      </c>
      <c r="B332" s="29" t="n">
        <v>45701</v>
      </c>
      <c r="C332" s="12" t="inlineStr">
        <is>
          <t>Control</t>
        </is>
      </c>
      <c r="D332" s="12" t="inlineStr">
        <is>
          <t>East</t>
        </is>
      </c>
      <c r="E332" s="12" t="inlineStr">
        <is>
          <t>Mobile</t>
        </is>
      </c>
      <c r="F332" s="12" t="inlineStr">
        <is>
          <t>Organic</t>
        </is>
      </c>
      <c r="G332" s="12" t="inlineStr">
        <is>
          <t>Free</t>
        </is>
      </c>
      <c r="H332" s="12" t="n">
        <v>1</v>
      </c>
      <c r="I332" s="12" t="n">
        <v>1</v>
      </c>
      <c r="J332" s="12" t="n">
        <v>1</v>
      </c>
      <c r="K332" s="12" t="n">
        <v>1</v>
      </c>
      <c r="L332" s="12" t="n">
        <v>426.82</v>
      </c>
      <c r="M332" s="12" t="n">
        <v>1</v>
      </c>
      <c r="N332" s="12" t="n">
        <v>0</v>
      </c>
      <c r="O332" s="12" t="n">
        <v>14</v>
      </c>
      <c r="P332" s="12" t="n">
        <v>68.8</v>
      </c>
    </row>
    <row r="333">
      <c r="A333" s="12" t="inlineStr">
        <is>
          <t>USR-100332</t>
        </is>
      </c>
      <c r="B333" s="29" t="n">
        <v>45780</v>
      </c>
      <c r="C333" s="12" t="inlineStr">
        <is>
          <t>Control</t>
        </is>
      </c>
      <c r="D333" s="12" t="inlineStr">
        <is>
          <t>North</t>
        </is>
      </c>
      <c r="E333" s="12" t="inlineStr">
        <is>
          <t>Mobile</t>
        </is>
      </c>
      <c r="F333" s="12" t="inlineStr">
        <is>
          <t>Organic</t>
        </is>
      </c>
      <c r="G333" s="12" t="inlineStr">
        <is>
          <t>Basic</t>
        </is>
      </c>
      <c r="H333" s="12" t="n">
        <v>1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/>
      <c r="P333" s="12" t="n">
        <v>72.40000000000001</v>
      </c>
    </row>
    <row r="334">
      <c r="A334" s="12" t="inlineStr">
        <is>
          <t>USR-100333</t>
        </is>
      </c>
      <c r="B334" s="29" t="n">
        <v>45726</v>
      </c>
      <c r="C334" s="12" t="inlineStr">
        <is>
          <t>Control</t>
        </is>
      </c>
      <c r="D334" s="12" t="inlineStr">
        <is>
          <t>East</t>
        </is>
      </c>
      <c r="E334" s="12" t="inlineStr">
        <is>
          <t>Mobile</t>
        </is>
      </c>
      <c r="F334" s="12" t="inlineStr">
        <is>
          <t>Organic</t>
        </is>
      </c>
      <c r="G334" s="12" t="inlineStr">
        <is>
          <t>Basic</t>
        </is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/>
      <c r="P334" s="12" t="n">
        <v>63.3</v>
      </c>
    </row>
    <row r="335">
      <c r="A335" s="12" t="inlineStr">
        <is>
          <t>USR-100334</t>
        </is>
      </c>
      <c r="B335" s="29" t="n">
        <v>45667</v>
      </c>
      <c r="C335" s="12" t="inlineStr">
        <is>
          <t>Control</t>
        </is>
      </c>
      <c r="D335" s="12" t="inlineStr">
        <is>
          <t>West</t>
        </is>
      </c>
      <c r="E335" s="12" t="inlineStr">
        <is>
          <t>Tablet</t>
        </is>
      </c>
      <c r="F335" s="12" t="inlineStr">
        <is>
          <t>Social</t>
        </is>
      </c>
      <c r="G335" s="12" t="inlineStr">
        <is>
          <t>Free</t>
        </is>
      </c>
      <c r="H335" s="12" t="n">
        <v>1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/>
      <c r="P335" s="12" t="n">
        <v>30.8</v>
      </c>
    </row>
    <row r="336">
      <c r="A336" s="12" t="inlineStr">
        <is>
          <t>USR-100335</t>
        </is>
      </c>
      <c r="B336" s="29" t="n">
        <v>45673</v>
      </c>
      <c r="C336" s="12" t="inlineStr">
        <is>
          <t>Control</t>
        </is>
      </c>
      <c r="D336" s="12" t="inlineStr">
        <is>
          <t>South</t>
        </is>
      </c>
      <c r="E336" s="12" t="inlineStr">
        <is>
          <t>Mobile</t>
        </is>
      </c>
      <c r="F336" s="12" t="inlineStr">
        <is>
          <t>Email</t>
        </is>
      </c>
      <c r="G336" s="12" t="inlineStr">
        <is>
          <t>Basic</t>
        </is>
      </c>
      <c r="H336" s="12" t="n">
        <v>1</v>
      </c>
      <c r="I336" s="12" t="n">
        <v>1</v>
      </c>
      <c r="J336" s="12" t="n">
        <v>1</v>
      </c>
      <c r="K336" s="12" t="n">
        <v>1</v>
      </c>
      <c r="L336" s="12" t="n">
        <v>874.55</v>
      </c>
      <c r="M336" s="12" t="n">
        <v>0</v>
      </c>
      <c r="N336" s="12" t="n">
        <v>0</v>
      </c>
      <c r="O336" s="12" t="n">
        <v>9</v>
      </c>
      <c r="P336" s="12" t="n">
        <v>44.2</v>
      </c>
    </row>
    <row r="337">
      <c r="A337" s="12" t="inlineStr">
        <is>
          <t>USR-100336</t>
        </is>
      </c>
      <c r="B337" s="29" t="n">
        <v>45699</v>
      </c>
      <c r="C337" s="12" t="inlineStr">
        <is>
          <t>Control</t>
        </is>
      </c>
      <c r="D337" s="12" t="inlineStr">
        <is>
          <t>South</t>
        </is>
      </c>
      <c r="E337" s="12" t="inlineStr">
        <is>
          <t>Desktop</t>
        </is>
      </c>
      <c r="F337" s="12" t="inlineStr">
        <is>
          <t>Organic</t>
        </is>
      </c>
      <c r="G337" s="12" t="inlineStr">
        <is>
          <t>Premium</t>
        </is>
      </c>
      <c r="H337" s="12" t="n">
        <v>1</v>
      </c>
      <c r="I337" s="12" t="n">
        <v>1</v>
      </c>
      <c r="J337" s="12" t="n">
        <v>1</v>
      </c>
      <c r="K337" s="12" t="n">
        <v>1</v>
      </c>
      <c r="L337" s="12" t="n">
        <v>2206.88</v>
      </c>
      <c r="M337" s="12" t="n">
        <v>0</v>
      </c>
      <c r="N337" s="12" t="n">
        <v>0</v>
      </c>
      <c r="O337" s="12" t="n">
        <v>10</v>
      </c>
      <c r="P337" s="12" t="n">
        <v>56.2</v>
      </c>
    </row>
    <row r="338">
      <c r="A338" s="12" t="inlineStr">
        <is>
          <t>USR-100337</t>
        </is>
      </c>
      <c r="B338" s="29" t="n">
        <v>45760</v>
      </c>
      <c r="C338" s="12" t="inlineStr">
        <is>
          <t>Control</t>
        </is>
      </c>
      <c r="D338" s="12" t="inlineStr">
        <is>
          <t>West</t>
        </is>
      </c>
      <c r="E338" s="12" t="inlineStr">
        <is>
          <t>Mobile</t>
        </is>
      </c>
      <c r="F338" s="12" t="inlineStr">
        <is>
          <t>Organic</t>
        </is>
      </c>
      <c r="G338" s="12" t="inlineStr">
        <is>
          <t>Free</t>
        </is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/>
      <c r="P338" s="12" t="n">
        <v>40.4</v>
      </c>
    </row>
    <row r="339">
      <c r="A339" s="12" t="inlineStr">
        <is>
          <t>USR-100338</t>
        </is>
      </c>
      <c r="B339" s="29" t="n">
        <v>45696</v>
      </c>
      <c r="C339" s="12" t="inlineStr">
        <is>
          <t>Control</t>
        </is>
      </c>
      <c r="D339" s="12" t="inlineStr">
        <is>
          <t>East</t>
        </is>
      </c>
      <c r="E339" s="12" t="inlineStr">
        <is>
          <t>Mobile</t>
        </is>
      </c>
      <c r="F339" s="12" t="inlineStr">
        <is>
          <t>Paid Search</t>
        </is>
      </c>
      <c r="G339" s="12" t="inlineStr">
        <is>
          <t>Free</t>
        </is>
      </c>
      <c r="H339" s="12" t="n">
        <v>1</v>
      </c>
      <c r="I339" s="12" t="n">
        <v>1</v>
      </c>
      <c r="J339" s="12" t="n">
        <v>1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/>
      <c r="P339" s="12" t="n">
        <v>68.09999999999999</v>
      </c>
    </row>
    <row r="340">
      <c r="A340" s="12" t="inlineStr">
        <is>
          <t>USR-100339</t>
        </is>
      </c>
      <c r="B340" s="29" t="n">
        <v>45747</v>
      </c>
      <c r="C340" s="12" t="inlineStr">
        <is>
          <t>Control</t>
        </is>
      </c>
      <c r="D340" s="12" t="inlineStr">
        <is>
          <t>West</t>
        </is>
      </c>
      <c r="E340" s="12" t="inlineStr">
        <is>
          <t>Desktop</t>
        </is>
      </c>
      <c r="F340" s="12" t="inlineStr">
        <is>
          <t>Referral</t>
        </is>
      </c>
      <c r="G340" s="12" t="inlineStr">
        <is>
          <t>Free</t>
        </is>
      </c>
      <c r="H340" s="12" t="n">
        <v>1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/>
      <c r="P340" s="12" t="n">
        <v>86.3</v>
      </c>
    </row>
    <row r="341">
      <c r="A341" s="12" t="inlineStr">
        <is>
          <t>USR-100340</t>
        </is>
      </c>
      <c r="B341" s="29" t="n">
        <v>45688</v>
      </c>
      <c r="C341" s="12" t="inlineStr">
        <is>
          <t>Control</t>
        </is>
      </c>
      <c r="D341" s="12" t="inlineStr">
        <is>
          <t>West</t>
        </is>
      </c>
      <c r="E341" s="12" t="inlineStr">
        <is>
          <t>Desktop</t>
        </is>
      </c>
      <c r="F341" s="12" t="inlineStr">
        <is>
          <t>Referral</t>
        </is>
      </c>
      <c r="G341" s="12" t="inlineStr">
        <is>
          <t>Free</t>
        </is>
      </c>
      <c r="H341" s="12" t="n">
        <v>1</v>
      </c>
      <c r="I341" s="12" t="n">
        <v>1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/>
      <c r="P341" s="12" t="n">
        <v>42.9</v>
      </c>
    </row>
    <row r="342">
      <c r="A342" s="12" t="inlineStr">
        <is>
          <t>USR-100341</t>
        </is>
      </c>
      <c r="B342" s="29" t="n">
        <v>45785</v>
      </c>
      <c r="C342" s="12" t="inlineStr">
        <is>
          <t>Control</t>
        </is>
      </c>
      <c r="D342" s="12" t="inlineStr">
        <is>
          <t>West</t>
        </is>
      </c>
      <c r="E342" s="12" t="inlineStr">
        <is>
          <t>Tablet</t>
        </is>
      </c>
      <c r="F342" s="12" t="inlineStr">
        <is>
          <t>Organic</t>
        </is>
      </c>
      <c r="G342" s="12" t="inlineStr">
        <is>
          <t>Free</t>
        </is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/>
      <c r="P342" s="12" t="n">
        <v>61.4</v>
      </c>
    </row>
    <row r="343">
      <c r="A343" s="12" t="inlineStr">
        <is>
          <t>USR-100342</t>
        </is>
      </c>
      <c r="B343" s="29" t="n">
        <v>45731</v>
      </c>
      <c r="C343" s="12" t="inlineStr">
        <is>
          <t>Control</t>
        </is>
      </c>
      <c r="D343" s="12" t="inlineStr">
        <is>
          <t>North</t>
        </is>
      </c>
      <c r="E343" s="12" t="inlineStr">
        <is>
          <t>Mobile</t>
        </is>
      </c>
      <c r="F343" s="12" t="inlineStr">
        <is>
          <t>Paid Search</t>
        </is>
      </c>
      <c r="G343" s="12" t="inlineStr">
        <is>
          <t>Free</t>
        </is>
      </c>
      <c r="H343" s="12" t="n">
        <v>1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1</v>
      </c>
      <c r="N343" s="12" t="n">
        <v>0</v>
      </c>
      <c r="O343" s="12" t="n"/>
      <c r="P343" s="12" t="n">
        <v>73.3</v>
      </c>
    </row>
    <row r="344">
      <c r="A344" s="12" t="inlineStr">
        <is>
          <t>USR-100343</t>
        </is>
      </c>
      <c r="B344" s="29" t="n">
        <v>45670</v>
      </c>
      <c r="C344" s="12" t="inlineStr">
        <is>
          <t>Control</t>
        </is>
      </c>
      <c r="D344" s="12" t="inlineStr">
        <is>
          <t>South</t>
        </is>
      </c>
      <c r="E344" s="12" t="inlineStr">
        <is>
          <t>Mobile</t>
        </is>
      </c>
      <c r="F344" s="12" t="inlineStr">
        <is>
          <t>Referral</t>
        </is>
      </c>
      <c r="G344" s="12" t="inlineStr">
        <is>
          <t>Basic</t>
        </is>
      </c>
      <c r="H344" s="12" t="n">
        <v>1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/>
      <c r="P344" s="12" t="n">
        <v>59.4</v>
      </c>
    </row>
    <row r="345">
      <c r="A345" s="12" t="inlineStr">
        <is>
          <t>USR-100344</t>
        </is>
      </c>
      <c r="B345" s="29" t="n">
        <v>45723</v>
      </c>
      <c r="C345" s="12" t="inlineStr">
        <is>
          <t>Control</t>
        </is>
      </c>
      <c r="D345" s="12" t="inlineStr">
        <is>
          <t>South</t>
        </is>
      </c>
      <c r="E345" s="12" t="inlineStr">
        <is>
          <t>Tablet</t>
        </is>
      </c>
      <c r="F345" s="12" t="inlineStr">
        <is>
          <t>Organic</t>
        </is>
      </c>
      <c r="G345" s="12" t="inlineStr">
        <is>
          <t>Basic</t>
        </is>
      </c>
      <c r="H345" s="12" t="n">
        <v>1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/>
      <c r="P345" s="12" t="n">
        <v>35.2</v>
      </c>
    </row>
    <row r="346">
      <c r="A346" s="12" t="inlineStr">
        <is>
          <t>USR-100345</t>
        </is>
      </c>
      <c r="B346" s="29" t="n">
        <v>45698</v>
      </c>
      <c r="C346" s="12" t="inlineStr">
        <is>
          <t>Control</t>
        </is>
      </c>
      <c r="D346" s="12" t="inlineStr">
        <is>
          <t>South</t>
        </is>
      </c>
      <c r="E346" s="12" t="inlineStr">
        <is>
          <t>Mobile</t>
        </is>
      </c>
      <c r="F346" s="12" t="inlineStr">
        <is>
          <t>Social</t>
        </is>
      </c>
      <c r="G346" s="12" t="inlineStr">
        <is>
          <t>Premium</t>
        </is>
      </c>
      <c r="H346" s="12" t="n">
        <v>1</v>
      </c>
      <c r="I346" s="12" t="n">
        <v>1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/>
      <c r="P346" s="12" t="n">
        <v>55.3</v>
      </c>
    </row>
    <row r="347">
      <c r="A347" s="12" t="inlineStr">
        <is>
          <t>USR-100346</t>
        </is>
      </c>
      <c r="B347" s="29" t="n">
        <v>45728</v>
      </c>
      <c r="C347" s="12" t="inlineStr">
        <is>
          <t>Control</t>
        </is>
      </c>
      <c r="D347" s="12" t="inlineStr">
        <is>
          <t>East</t>
        </is>
      </c>
      <c r="E347" s="12" t="inlineStr">
        <is>
          <t>Mobile</t>
        </is>
      </c>
      <c r="F347" s="12" t="inlineStr">
        <is>
          <t>Paid Search</t>
        </is>
      </c>
      <c r="G347" s="12" t="inlineStr">
        <is>
          <t>Free</t>
        </is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/>
      <c r="P347" s="12" t="n">
        <v>37.5</v>
      </c>
    </row>
    <row r="348">
      <c r="A348" s="12" t="inlineStr">
        <is>
          <t>USR-100347</t>
        </is>
      </c>
      <c r="B348" s="29" t="n">
        <v>45660</v>
      </c>
      <c r="C348" s="12" t="inlineStr">
        <is>
          <t>Control</t>
        </is>
      </c>
      <c r="D348" s="12" t="inlineStr">
        <is>
          <t>South</t>
        </is>
      </c>
      <c r="E348" s="12" t="inlineStr">
        <is>
          <t>Desktop</t>
        </is>
      </c>
      <c r="F348" s="12" t="inlineStr">
        <is>
          <t>Paid Search</t>
        </is>
      </c>
      <c r="G348" s="12" t="inlineStr">
        <is>
          <t>Free</t>
        </is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1</v>
      </c>
      <c r="N348" s="12" t="n">
        <v>0</v>
      </c>
      <c r="O348" s="12" t="n"/>
      <c r="P348" s="12" t="n">
        <v>66.40000000000001</v>
      </c>
    </row>
    <row r="349">
      <c r="A349" s="12" t="inlineStr">
        <is>
          <t>USR-100348</t>
        </is>
      </c>
      <c r="B349" s="29" t="n">
        <v>45775</v>
      </c>
      <c r="C349" s="12" t="inlineStr">
        <is>
          <t>Control</t>
        </is>
      </c>
      <c r="D349" s="12" t="inlineStr">
        <is>
          <t>North</t>
        </is>
      </c>
      <c r="E349" s="12" t="inlineStr">
        <is>
          <t>Tablet</t>
        </is>
      </c>
      <c r="F349" s="12" t="inlineStr">
        <is>
          <t>Social</t>
        </is>
      </c>
      <c r="G349" s="12" t="inlineStr">
        <is>
          <t>Basic</t>
        </is>
      </c>
      <c r="H349" s="12" t="n">
        <v>1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/>
      <c r="P349" s="12" t="n">
        <v>61.9</v>
      </c>
    </row>
    <row r="350">
      <c r="A350" s="12" t="inlineStr">
        <is>
          <t>USR-100349</t>
        </is>
      </c>
      <c r="B350" s="29" t="n">
        <v>45764</v>
      </c>
      <c r="C350" s="12" t="inlineStr">
        <is>
          <t>Control</t>
        </is>
      </c>
      <c r="D350" s="12" t="inlineStr">
        <is>
          <t>East</t>
        </is>
      </c>
      <c r="E350" s="12" t="inlineStr">
        <is>
          <t>Mobile</t>
        </is>
      </c>
      <c r="F350" s="12" t="inlineStr">
        <is>
          <t>Organic</t>
        </is>
      </c>
      <c r="G350" s="12" t="inlineStr">
        <is>
          <t>Free</t>
        </is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/>
      <c r="P350" s="12" t="n">
        <v>56</v>
      </c>
    </row>
    <row r="351">
      <c r="A351" s="12" t="inlineStr">
        <is>
          <t>USR-100350</t>
        </is>
      </c>
      <c r="B351" s="29" t="n">
        <v>45800</v>
      </c>
      <c r="C351" s="12" t="inlineStr">
        <is>
          <t>Control</t>
        </is>
      </c>
      <c r="D351" s="12" t="inlineStr">
        <is>
          <t>South</t>
        </is>
      </c>
      <c r="E351" s="12" t="inlineStr">
        <is>
          <t>Desktop</t>
        </is>
      </c>
      <c r="F351" s="12" t="inlineStr">
        <is>
          <t>Social</t>
        </is>
      </c>
      <c r="G351" s="12" t="inlineStr">
        <is>
          <t>Basic</t>
        </is>
      </c>
      <c r="H351" s="12" t="n">
        <v>1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/>
      <c r="P351" s="12" t="n">
        <v>55.5</v>
      </c>
    </row>
    <row r="352">
      <c r="A352" s="12" t="inlineStr">
        <is>
          <t>USR-100351</t>
        </is>
      </c>
      <c r="B352" s="29" t="n">
        <v>45707</v>
      </c>
      <c r="C352" s="12" t="inlineStr">
        <is>
          <t>Control</t>
        </is>
      </c>
      <c r="D352" s="12" t="inlineStr">
        <is>
          <t>West</t>
        </is>
      </c>
      <c r="E352" s="12" t="inlineStr">
        <is>
          <t>Tablet</t>
        </is>
      </c>
      <c r="F352" s="12" t="inlineStr">
        <is>
          <t>Referral</t>
        </is>
      </c>
      <c r="G352" s="12" t="inlineStr">
        <is>
          <t>Basic</t>
        </is>
      </c>
      <c r="H352" s="12" t="n">
        <v>1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/>
      <c r="P352" s="12" t="n">
        <v>37.2</v>
      </c>
    </row>
    <row r="353">
      <c r="A353" s="12" t="inlineStr">
        <is>
          <t>USR-100352</t>
        </is>
      </c>
      <c r="B353" s="29" t="n">
        <v>45675</v>
      </c>
      <c r="C353" s="12" t="inlineStr">
        <is>
          <t>Control</t>
        </is>
      </c>
      <c r="D353" s="12" t="inlineStr">
        <is>
          <t>South</t>
        </is>
      </c>
      <c r="E353" s="12" t="inlineStr">
        <is>
          <t>Desktop</t>
        </is>
      </c>
      <c r="F353" s="12" t="inlineStr">
        <is>
          <t>Organic</t>
        </is>
      </c>
      <c r="G353" s="12" t="inlineStr">
        <is>
          <t>Free</t>
        </is>
      </c>
      <c r="H353" s="12" t="n">
        <v>1</v>
      </c>
      <c r="I353" s="12" t="n">
        <v>1</v>
      </c>
      <c r="J353" s="12" t="n">
        <v>0</v>
      </c>
      <c r="K353" s="12" t="n">
        <v>0</v>
      </c>
      <c r="L353" s="12" t="n">
        <v>0</v>
      </c>
      <c r="M353" s="12" t="n">
        <v>1</v>
      </c>
      <c r="N353" s="12" t="n">
        <v>0</v>
      </c>
      <c r="O353" s="12" t="n"/>
      <c r="P353" s="12" t="n">
        <v>70.5</v>
      </c>
    </row>
    <row r="354">
      <c r="A354" s="12" t="inlineStr">
        <is>
          <t>USR-100353</t>
        </is>
      </c>
      <c r="B354" s="29" t="n">
        <v>45764</v>
      </c>
      <c r="C354" s="12" t="inlineStr">
        <is>
          <t>Control</t>
        </is>
      </c>
      <c r="D354" s="12" t="inlineStr">
        <is>
          <t>North</t>
        </is>
      </c>
      <c r="E354" s="12" t="inlineStr">
        <is>
          <t>Mobile</t>
        </is>
      </c>
      <c r="F354" s="12" t="inlineStr">
        <is>
          <t>Organic</t>
        </is>
      </c>
      <c r="G354" s="12" t="inlineStr">
        <is>
          <t>Free</t>
        </is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/>
      <c r="P354" s="12" t="n">
        <v>61.2</v>
      </c>
    </row>
    <row r="355">
      <c r="A355" s="12" t="inlineStr">
        <is>
          <t>USR-100354</t>
        </is>
      </c>
      <c r="B355" s="29" t="n">
        <v>45759</v>
      </c>
      <c r="C355" s="12" t="inlineStr">
        <is>
          <t>Control</t>
        </is>
      </c>
      <c r="D355" s="12" t="inlineStr">
        <is>
          <t>East</t>
        </is>
      </c>
      <c r="E355" s="12" t="inlineStr">
        <is>
          <t>Tablet</t>
        </is>
      </c>
      <c r="F355" s="12" t="inlineStr">
        <is>
          <t>Social</t>
        </is>
      </c>
      <c r="G355" s="12" t="inlineStr">
        <is>
          <t>Free</t>
        </is>
      </c>
      <c r="H355" s="12" t="n">
        <v>1</v>
      </c>
      <c r="I355" s="12" t="n">
        <v>1</v>
      </c>
      <c r="J355" s="12" t="n">
        <v>1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/>
      <c r="P355" s="12" t="n">
        <v>64.59999999999999</v>
      </c>
    </row>
    <row r="356">
      <c r="A356" s="12" t="inlineStr">
        <is>
          <t>USR-100355</t>
        </is>
      </c>
      <c r="B356" s="29" t="n">
        <v>45793</v>
      </c>
      <c r="C356" s="12" t="inlineStr">
        <is>
          <t>Control</t>
        </is>
      </c>
      <c r="D356" s="12" t="inlineStr">
        <is>
          <t>East</t>
        </is>
      </c>
      <c r="E356" s="12" t="inlineStr">
        <is>
          <t>Mobile</t>
        </is>
      </c>
      <c r="F356" s="12" t="inlineStr">
        <is>
          <t>Email</t>
        </is>
      </c>
      <c r="G356" s="12" t="inlineStr">
        <is>
          <t>Free</t>
        </is>
      </c>
      <c r="H356" s="12" t="n">
        <v>1</v>
      </c>
      <c r="I356" s="12" t="n">
        <v>1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/>
      <c r="P356" s="12" t="n">
        <v>91.7</v>
      </c>
    </row>
    <row r="357">
      <c r="A357" s="12" t="inlineStr">
        <is>
          <t>USR-100356</t>
        </is>
      </c>
      <c r="B357" s="29" t="n">
        <v>45740</v>
      </c>
      <c r="C357" s="12" t="inlineStr">
        <is>
          <t>Control</t>
        </is>
      </c>
      <c r="D357" s="12" t="inlineStr">
        <is>
          <t>West</t>
        </is>
      </c>
      <c r="E357" s="12" t="inlineStr">
        <is>
          <t>Mobile</t>
        </is>
      </c>
      <c r="F357" s="12" t="inlineStr">
        <is>
          <t>Social</t>
        </is>
      </c>
      <c r="G357" s="12" t="inlineStr">
        <is>
          <t>Free</t>
        </is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/>
      <c r="P357" s="12" t="n">
        <v>46</v>
      </c>
    </row>
    <row r="358">
      <c r="A358" s="12" t="inlineStr">
        <is>
          <t>USR-100357</t>
        </is>
      </c>
      <c r="B358" s="29" t="n">
        <v>45704</v>
      </c>
      <c r="C358" s="12" t="inlineStr">
        <is>
          <t>Control</t>
        </is>
      </c>
      <c r="D358" s="12" t="inlineStr">
        <is>
          <t>West</t>
        </is>
      </c>
      <c r="E358" s="12" t="inlineStr">
        <is>
          <t>Mobile</t>
        </is>
      </c>
      <c r="F358" s="12" t="inlineStr">
        <is>
          <t>Organic</t>
        </is>
      </c>
      <c r="G358" s="12" t="inlineStr">
        <is>
          <t>Basic</t>
        </is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/>
      <c r="P358" s="12" t="n">
        <v>50.8</v>
      </c>
    </row>
    <row r="359">
      <c r="A359" s="12" t="inlineStr">
        <is>
          <t>USR-100358</t>
        </is>
      </c>
      <c r="B359" s="29" t="n">
        <v>45735</v>
      </c>
      <c r="C359" s="12" t="inlineStr">
        <is>
          <t>Control</t>
        </is>
      </c>
      <c r="D359" s="12" t="inlineStr">
        <is>
          <t>North</t>
        </is>
      </c>
      <c r="E359" s="12" t="inlineStr">
        <is>
          <t>Tablet</t>
        </is>
      </c>
      <c r="F359" s="12" t="inlineStr">
        <is>
          <t>Organic</t>
        </is>
      </c>
      <c r="G359" s="12" t="inlineStr">
        <is>
          <t>Free</t>
        </is>
      </c>
      <c r="H359" s="12" t="n">
        <v>1</v>
      </c>
      <c r="I359" s="12" t="n">
        <v>1</v>
      </c>
      <c r="J359" s="12" t="n">
        <v>1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/>
      <c r="P359" s="12" t="n">
        <v>52.8</v>
      </c>
    </row>
    <row r="360">
      <c r="A360" s="12" t="inlineStr">
        <is>
          <t>USR-100359</t>
        </is>
      </c>
      <c r="B360" s="29" t="n">
        <v>45768</v>
      </c>
      <c r="C360" s="12" t="inlineStr">
        <is>
          <t>Control</t>
        </is>
      </c>
      <c r="D360" s="12" t="inlineStr">
        <is>
          <t>South</t>
        </is>
      </c>
      <c r="E360" s="12" t="inlineStr">
        <is>
          <t>Mobile</t>
        </is>
      </c>
      <c r="F360" s="12" t="inlineStr">
        <is>
          <t>Organic</t>
        </is>
      </c>
      <c r="G360" s="12" t="inlineStr">
        <is>
          <t>Basic</t>
        </is>
      </c>
      <c r="H360" s="12" t="n">
        <v>1</v>
      </c>
      <c r="I360" s="12" t="n">
        <v>1</v>
      </c>
      <c r="J360" s="12" t="n">
        <v>1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/>
      <c r="P360" s="12" t="n">
        <v>63</v>
      </c>
    </row>
    <row r="361">
      <c r="A361" s="12" t="inlineStr">
        <is>
          <t>USR-100360</t>
        </is>
      </c>
      <c r="B361" s="29" t="n">
        <v>45668</v>
      </c>
      <c r="C361" s="12" t="inlineStr">
        <is>
          <t>Control</t>
        </is>
      </c>
      <c r="D361" s="12" t="inlineStr">
        <is>
          <t>West</t>
        </is>
      </c>
      <c r="E361" s="12" t="inlineStr">
        <is>
          <t>Mobile</t>
        </is>
      </c>
      <c r="F361" s="12" t="inlineStr">
        <is>
          <t>Organic</t>
        </is>
      </c>
      <c r="G361" s="12" t="inlineStr">
        <is>
          <t>Free</t>
        </is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/>
      <c r="P361" s="12" t="n">
        <v>28.4</v>
      </c>
    </row>
    <row r="362">
      <c r="A362" s="12" t="inlineStr">
        <is>
          <t>USR-100361</t>
        </is>
      </c>
      <c r="B362" s="29" t="n">
        <v>45771</v>
      </c>
      <c r="C362" s="12" t="inlineStr">
        <is>
          <t>Control</t>
        </is>
      </c>
      <c r="D362" s="12" t="inlineStr">
        <is>
          <t>West</t>
        </is>
      </c>
      <c r="E362" s="12" t="inlineStr">
        <is>
          <t>Desktop</t>
        </is>
      </c>
      <c r="F362" s="12" t="inlineStr">
        <is>
          <t>Organic</t>
        </is>
      </c>
      <c r="G362" s="12" t="inlineStr">
        <is>
          <t>Free</t>
        </is>
      </c>
      <c r="H362" s="12" t="n">
        <v>1</v>
      </c>
      <c r="I362" s="12" t="n">
        <v>1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/>
      <c r="P362" s="12" t="n">
        <v>65.59999999999999</v>
      </c>
    </row>
    <row r="363">
      <c r="A363" s="12" t="inlineStr">
        <is>
          <t>USR-100362</t>
        </is>
      </c>
      <c r="B363" s="29" t="n">
        <v>45729</v>
      </c>
      <c r="C363" s="12" t="inlineStr">
        <is>
          <t>Control</t>
        </is>
      </c>
      <c r="D363" s="12" t="inlineStr">
        <is>
          <t>North</t>
        </is>
      </c>
      <c r="E363" s="12" t="inlineStr">
        <is>
          <t>Mobile</t>
        </is>
      </c>
      <c r="F363" s="12" t="inlineStr">
        <is>
          <t>Social</t>
        </is>
      </c>
      <c r="G363" s="12" t="inlineStr">
        <is>
          <t>Premium</t>
        </is>
      </c>
      <c r="H363" s="12" t="n">
        <v>1</v>
      </c>
      <c r="I363" s="12" t="n">
        <v>1</v>
      </c>
      <c r="J363" s="12" t="n">
        <v>1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/>
      <c r="P363" s="12" t="n">
        <v>54.7</v>
      </c>
    </row>
    <row r="364">
      <c r="A364" s="12" t="inlineStr">
        <is>
          <t>USR-100363</t>
        </is>
      </c>
      <c r="B364" s="29" t="n">
        <v>45687</v>
      </c>
      <c r="C364" s="12" t="inlineStr">
        <is>
          <t>Control</t>
        </is>
      </c>
      <c r="D364" s="12" t="inlineStr">
        <is>
          <t>North</t>
        </is>
      </c>
      <c r="E364" s="12" t="inlineStr">
        <is>
          <t>Mobile</t>
        </is>
      </c>
      <c r="F364" s="12" t="inlineStr">
        <is>
          <t>Social</t>
        </is>
      </c>
      <c r="G364" s="12" t="inlineStr">
        <is>
          <t>Basic</t>
        </is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/>
      <c r="P364" s="12" t="n">
        <v>36.1</v>
      </c>
    </row>
    <row r="365">
      <c r="A365" s="12" t="inlineStr">
        <is>
          <t>USR-100364</t>
        </is>
      </c>
      <c r="B365" s="29" t="n">
        <v>45785</v>
      </c>
      <c r="C365" s="12" t="inlineStr">
        <is>
          <t>Control</t>
        </is>
      </c>
      <c r="D365" s="12" t="inlineStr">
        <is>
          <t>South</t>
        </is>
      </c>
      <c r="E365" s="12" t="inlineStr">
        <is>
          <t>Mobile</t>
        </is>
      </c>
      <c r="F365" s="12" t="inlineStr">
        <is>
          <t>Social</t>
        </is>
      </c>
      <c r="G365" s="12" t="inlineStr">
        <is>
          <t>Basic</t>
        </is>
      </c>
      <c r="H365" s="12" t="n">
        <v>1</v>
      </c>
      <c r="I365" s="12" t="n">
        <v>1</v>
      </c>
      <c r="J365" s="12" t="n">
        <v>1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/>
      <c r="P365" s="12" t="n">
        <v>70.40000000000001</v>
      </c>
    </row>
    <row r="366">
      <c r="A366" s="12" t="inlineStr">
        <is>
          <t>USR-100365</t>
        </is>
      </c>
      <c r="B366" s="29" t="n">
        <v>45665</v>
      </c>
      <c r="C366" s="12" t="inlineStr">
        <is>
          <t>Control</t>
        </is>
      </c>
      <c r="D366" s="12" t="inlineStr">
        <is>
          <t>East</t>
        </is>
      </c>
      <c r="E366" s="12" t="inlineStr">
        <is>
          <t>Desktop</t>
        </is>
      </c>
      <c r="F366" s="12" t="inlineStr">
        <is>
          <t>Social</t>
        </is>
      </c>
      <c r="G366" s="12" t="inlineStr">
        <is>
          <t>Free</t>
        </is>
      </c>
      <c r="H366" s="12" t="n">
        <v>1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/>
      <c r="P366" s="12" t="n">
        <v>56.4</v>
      </c>
    </row>
    <row r="367">
      <c r="A367" s="12" t="inlineStr">
        <is>
          <t>USR-100366</t>
        </is>
      </c>
      <c r="B367" s="29" t="n">
        <v>45780</v>
      </c>
      <c r="C367" s="12" t="inlineStr">
        <is>
          <t>Control</t>
        </is>
      </c>
      <c r="D367" s="12" t="inlineStr">
        <is>
          <t>South</t>
        </is>
      </c>
      <c r="E367" s="12" t="inlineStr">
        <is>
          <t>Mobile</t>
        </is>
      </c>
      <c r="F367" s="12" t="inlineStr">
        <is>
          <t>Organic</t>
        </is>
      </c>
      <c r="G367" s="12" t="inlineStr">
        <is>
          <t>Free</t>
        </is>
      </c>
      <c r="H367" s="12" t="n">
        <v>1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/>
      <c r="P367" s="12" t="n">
        <v>79.2</v>
      </c>
    </row>
    <row r="368">
      <c r="A368" s="12" t="inlineStr">
        <is>
          <t>USR-100367</t>
        </is>
      </c>
      <c r="B368" s="29" t="n">
        <v>45700</v>
      </c>
      <c r="C368" s="12" t="inlineStr">
        <is>
          <t>Control</t>
        </is>
      </c>
      <c r="D368" s="12" t="inlineStr">
        <is>
          <t>East</t>
        </is>
      </c>
      <c r="E368" s="12" t="inlineStr">
        <is>
          <t>Mobile</t>
        </is>
      </c>
      <c r="F368" s="12" t="inlineStr">
        <is>
          <t>Paid Search</t>
        </is>
      </c>
      <c r="G368" s="12" t="inlineStr">
        <is>
          <t>Free</t>
        </is>
      </c>
      <c r="H368" s="12" t="n">
        <v>1</v>
      </c>
      <c r="I368" s="12" t="n">
        <v>1</v>
      </c>
      <c r="J368" s="12" t="n">
        <v>1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/>
      <c r="P368" s="12" t="n">
        <v>60.1</v>
      </c>
    </row>
    <row r="369">
      <c r="A369" s="12" t="inlineStr">
        <is>
          <t>USR-100368</t>
        </is>
      </c>
      <c r="B369" s="29" t="n">
        <v>45713</v>
      </c>
      <c r="C369" s="12" t="inlineStr">
        <is>
          <t>Control</t>
        </is>
      </c>
      <c r="D369" s="12" t="inlineStr">
        <is>
          <t>South</t>
        </is>
      </c>
      <c r="E369" s="12" t="inlineStr">
        <is>
          <t>Tablet</t>
        </is>
      </c>
      <c r="F369" s="12" t="inlineStr">
        <is>
          <t>Organic</t>
        </is>
      </c>
      <c r="G369" s="12" t="inlineStr">
        <is>
          <t>Free</t>
        </is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/>
      <c r="P369" s="12" t="n">
        <v>58</v>
      </c>
    </row>
    <row r="370">
      <c r="A370" s="12" t="inlineStr">
        <is>
          <t>USR-100369</t>
        </is>
      </c>
      <c r="B370" s="29" t="n">
        <v>45761</v>
      </c>
      <c r="C370" s="12" t="inlineStr">
        <is>
          <t>Control</t>
        </is>
      </c>
      <c r="D370" s="12" t="inlineStr">
        <is>
          <t>South</t>
        </is>
      </c>
      <c r="E370" s="12" t="inlineStr">
        <is>
          <t>Mobile</t>
        </is>
      </c>
      <c r="F370" s="12" t="inlineStr">
        <is>
          <t>Referral</t>
        </is>
      </c>
      <c r="G370" s="12" t="inlineStr">
        <is>
          <t>Free</t>
        </is>
      </c>
      <c r="H370" s="12" t="n">
        <v>1</v>
      </c>
      <c r="I370" s="12" t="n">
        <v>1</v>
      </c>
      <c r="J370" s="12" t="n">
        <v>1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/>
      <c r="P370" s="12" t="n">
        <v>69</v>
      </c>
    </row>
    <row r="371">
      <c r="A371" s="12" t="inlineStr">
        <is>
          <t>USR-100370</t>
        </is>
      </c>
      <c r="B371" s="29" t="n">
        <v>45665</v>
      </c>
      <c r="C371" s="12" t="inlineStr">
        <is>
          <t>Control</t>
        </is>
      </c>
      <c r="D371" s="12" t="inlineStr">
        <is>
          <t>North</t>
        </is>
      </c>
      <c r="E371" s="12" t="inlineStr">
        <is>
          <t>Mobile</t>
        </is>
      </c>
      <c r="F371" s="12" t="inlineStr">
        <is>
          <t>Referral</t>
        </is>
      </c>
      <c r="G371" s="12" t="inlineStr">
        <is>
          <t>Premium</t>
        </is>
      </c>
      <c r="H371" s="12" t="n">
        <v>1</v>
      </c>
      <c r="I371" s="12" t="n">
        <v>1</v>
      </c>
      <c r="J371" s="12" t="n">
        <v>1</v>
      </c>
      <c r="K371" s="12" t="n">
        <v>0</v>
      </c>
      <c r="L371" s="12" t="n">
        <v>0</v>
      </c>
      <c r="M371" s="12" t="n">
        <v>1</v>
      </c>
      <c r="N371" s="12" t="n">
        <v>0</v>
      </c>
      <c r="O371" s="12" t="n"/>
      <c r="P371" s="12" t="n">
        <v>80.8</v>
      </c>
    </row>
    <row r="372">
      <c r="A372" s="12" t="inlineStr">
        <is>
          <t>USR-100371</t>
        </is>
      </c>
      <c r="B372" s="29" t="n">
        <v>45730</v>
      </c>
      <c r="C372" s="12" t="inlineStr">
        <is>
          <t>Control</t>
        </is>
      </c>
      <c r="D372" s="12" t="inlineStr">
        <is>
          <t>East</t>
        </is>
      </c>
      <c r="E372" s="12" t="inlineStr">
        <is>
          <t>Mobile</t>
        </is>
      </c>
      <c r="F372" s="12" t="inlineStr">
        <is>
          <t>Email</t>
        </is>
      </c>
      <c r="G372" s="12" t="inlineStr">
        <is>
          <t>Free</t>
        </is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/>
      <c r="P372" s="12" t="n">
        <v>32.8</v>
      </c>
    </row>
    <row r="373">
      <c r="A373" s="12" t="inlineStr">
        <is>
          <t>USR-100372</t>
        </is>
      </c>
      <c r="B373" s="29" t="n">
        <v>45776</v>
      </c>
      <c r="C373" s="12" t="inlineStr">
        <is>
          <t>Control</t>
        </is>
      </c>
      <c r="D373" s="12" t="inlineStr">
        <is>
          <t>North</t>
        </is>
      </c>
      <c r="E373" s="12" t="inlineStr">
        <is>
          <t>Desktop</t>
        </is>
      </c>
      <c r="F373" s="12" t="inlineStr">
        <is>
          <t>Paid Search</t>
        </is>
      </c>
      <c r="G373" s="12" t="inlineStr">
        <is>
          <t>Premium</t>
        </is>
      </c>
      <c r="H373" s="12" t="n">
        <v>1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/>
      <c r="P373" s="12" t="n">
        <v>56</v>
      </c>
    </row>
    <row r="374">
      <c r="A374" s="12" t="inlineStr">
        <is>
          <t>USR-100373</t>
        </is>
      </c>
      <c r="B374" s="29" t="n">
        <v>45778</v>
      </c>
      <c r="C374" s="12" t="inlineStr">
        <is>
          <t>Control</t>
        </is>
      </c>
      <c r="D374" s="12" t="inlineStr">
        <is>
          <t>East</t>
        </is>
      </c>
      <c r="E374" s="12" t="inlineStr">
        <is>
          <t>Desktop</t>
        </is>
      </c>
      <c r="F374" s="12" t="inlineStr">
        <is>
          <t>Social</t>
        </is>
      </c>
      <c r="G374" s="12" t="inlineStr">
        <is>
          <t>Free</t>
        </is>
      </c>
      <c r="H374" s="12" t="n">
        <v>1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/>
      <c r="P374" s="12" t="n">
        <v>76.40000000000001</v>
      </c>
    </row>
    <row r="375">
      <c r="A375" s="12" t="inlineStr">
        <is>
          <t>USR-100374</t>
        </is>
      </c>
      <c r="B375" s="29" t="n">
        <v>45735</v>
      </c>
      <c r="C375" s="12" t="inlineStr">
        <is>
          <t>Control</t>
        </is>
      </c>
      <c r="D375" s="12" t="inlineStr">
        <is>
          <t>North</t>
        </is>
      </c>
      <c r="E375" s="12" t="inlineStr">
        <is>
          <t>Mobile</t>
        </is>
      </c>
      <c r="F375" s="12" t="inlineStr">
        <is>
          <t>Referral</t>
        </is>
      </c>
      <c r="G375" s="12" t="inlineStr">
        <is>
          <t>Free</t>
        </is>
      </c>
      <c r="H375" s="12" t="n">
        <v>1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/>
      <c r="P375" s="12" t="n">
        <v>28.5</v>
      </c>
    </row>
    <row r="376">
      <c r="A376" s="12" t="inlineStr">
        <is>
          <t>USR-100375</t>
        </is>
      </c>
      <c r="B376" s="29" t="n">
        <v>45778</v>
      </c>
      <c r="C376" s="12" t="inlineStr">
        <is>
          <t>Control</t>
        </is>
      </c>
      <c r="D376" s="12" t="inlineStr">
        <is>
          <t>South</t>
        </is>
      </c>
      <c r="E376" s="12" t="inlineStr">
        <is>
          <t>Desktop</t>
        </is>
      </c>
      <c r="F376" s="12" t="inlineStr">
        <is>
          <t>Social</t>
        </is>
      </c>
      <c r="G376" s="12" t="inlineStr">
        <is>
          <t>Basic</t>
        </is>
      </c>
      <c r="H376" s="12" t="n">
        <v>1</v>
      </c>
      <c r="I376" s="12" t="n">
        <v>1</v>
      </c>
      <c r="J376" s="12" t="n">
        <v>1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/>
      <c r="P376" s="12" t="n">
        <v>48.3</v>
      </c>
    </row>
    <row r="377">
      <c r="A377" s="12" t="inlineStr">
        <is>
          <t>USR-100376</t>
        </is>
      </c>
      <c r="B377" s="29" t="n">
        <v>45730</v>
      </c>
      <c r="C377" s="12" t="inlineStr">
        <is>
          <t>Control</t>
        </is>
      </c>
      <c r="D377" s="12" t="inlineStr">
        <is>
          <t>West</t>
        </is>
      </c>
      <c r="E377" s="12" t="inlineStr">
        <is>
          <t>Mobile</t>
        </is>
      </c>
      <c r="F377" s="12" t="inlineStr">
        <is>
          <t>Organic</t>
        </is>
      </c>
      <c r="G377" s="12" t="inlineStr">
        <is>
          <t>Free</t>
        </is>
      </c>
      <c r="H377" s="12" t="n">
        <v>1</v>
      </c>
      <c r="I377" s="12" t="n">
        <v>1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/>
      <c r="P377" s="12" t="n">
        <v>43.4</v>
      </c>
    </row>
    <row r="378">
      <c r="A378" s="12" t="inlineStr">
        <is>
          <t>USR-100377</t>
        </is>
      </c>
      <c r="B378" s="29" t="n">
        <v>45739</v>
      </c>
      <c r="C378" s="12" t="inlineStr">
        <is>
          <t>Control</t>
        </is>
      </c>
      <c r="D378" s="12" t="inlineStr">
        <is>
          <t>North</t>
        </is>
      </c>
      <c r="E378" s="12" t="inlineStr">
        <is>
          <t>Mobile</t>
        </is>
      </c>
      <c r="F378" s="12" t="inlineStr">
        <is>
          <t>Paid Search</t>
        </is>
      </c>
      <c r="G378" s="12" t="inlineStr">
        <is>
          <t>Free</t>
        </is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/>
      <c r="P378" s="12" t="n">
        <v>43</v>
      </c>
    </row>
    <row r="379">
      <c r="A379" s="12" t="inlineStr">
        <is>
          <t>USR-100378</t>
        </is>
      </c>
      <c r="B379" s="29" t="n">
        <v>45696</v>
      </c>
      <c r="C379" s="12" t="inlineStr">
        <is>
          <t>Control</t>
        </is>
      </c>
      <c r="D379" s="12" t="inlineStr">
        <is>
          <t>East</t>
        </is>
      </c>
      <c r="E379" s="12" t="inlineStr">
        <is>
          <t>Mobile</t>
        </is>
      </c>
      <c r="F379" s="12" t="inlineStr">
        <is>
          <t>Referral</t>
        </is>
      </c>
      <c r="G379" s="12" t="inlineStr">
        <is>
          <t>Basic</t>
        </is>
      </c>
      <c r="H379" s="12" t="n">
        <v>1</v>
      </c>
      <c r="I379" s="12" t="n">
        <v>1</v>
      </c>
      <c r="J379" s="12" t="n">
        <v>1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/>
      <c r="P379" s="12" t="n">
        <v>91.8</v>
      </c>
    </row>
    <row r="380">
      <c r="A380" s="12" t="inlineStr">
        <is>
          <t>USR-100379</t>
        </is>
      </c>
      <c r="B380" s="29" t="n">
        <v>45762</v>
      </c>
      <c r="C380" s="12" t="inlineStr">
        <is>
          <t>Control</t>
        </is>
      </c>
      <c r="D380" s="12" t="inlineStr">
        <is>
          <t>West</t>
        </is>
      </c>
      <c r="E380" s="12" t="inlineStr">
        <is>
          <t>Tablet</t>
        </is>
      </c>
      <c r="F380" s="12" t="inlineStr">
        <is>
          <t>Paid Search</t>
        </is>
      </c>
      <c r="G380" s="12" t="inlineStr">
        <is>
          <t>Basic</t>
        </is>
      </c>
      <c r="H380" s="12" t="n">
        <v>1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1</v>
      </c>
      <c r="N380" s="12" t="n">
        <v>0</v>
      </c>
      <c r="O380" s="12" t="n"/>
      <c r="P380" s="12" t="n">
        <v>69.3</v>
      </c>
    </row>
    <row r="381">
      <c r="A381" s="12" t="inlineStr">
        <is>
          <t>USR-100380</t>
        </is>
      </c>
      <c r="B381" s="29" t="n">
        <v>45660</v>
      </c>
      <c r="C381" s="12" t="inlineStr">
        <is>
          <t>Control</t>
        </is>
      </c>
      <c r="D381" s="12" t="inlineStr">
        <is>
          <t>South</t>
        </is>
      </c>
      <c r="E381" s="12" t="inlineStr">
        <is>
          <t>Desktop</t>
        </is>
      </c>
      <c r="F381" s="12" t="inlineStr">
        <is>
          <t>Paid Search</t>
        </is>
      </c>
      <c r="G381" s="12" t="inlineStr">
        <is>
          <t>Basic</t>
        </is>
      </c>
      <c r="H381" s="12" t="n">
        <v>1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/>
      <c r="P381" s="12" t="n">
        <v>58.9</v>
      </c>
    </row>
    <row r="382">
      <c r="A382" s="12" t="inlineStr">
        <is>
          <t>USR-100381</t>
        </is>
      </c>
      <c r="B382" s="29" t="n">
        <v>45739</v>
      </c>
      <c r="C382" s="12" t="inlineStr">
        <is>
          <t>Control</t>
        </is>
      </c>
      <c r="D382" s="12" t="inlineStr">
        <is>
          <t>West</t>
        </is>
      </c>
      <c r="E382" s="12" t="inlineStr">
        <is>
          <t>Mobile</t>
        </is>
      </c>
      <c r="F382" s="12" t="inlineStr">
        <is>
          <t>Social</t>
        </is>
      </c>
      <c r="G382" s="12" t="inlineStr">
        <is>
          <t>Free</t>
        </is>
      </c>
      <c r="H382" s="12" t="n">
        <v>1</v>
      </c>
      <c r="I382" s="12" t="n">
        <v>1</v>
      </c>
      <c r="J382" s="12" t="n">
        <v>1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/>
      <c r="P382" s="12" t="n">
        <v>76</v>
      </c>
    </row>
    <row r="383">
      <c r="A383" s="12" t="inlineStr">
        <is>
          <t>USR-100382</t>
        </is>
      </c>
      <c r="B383" s="29" t="n">
        <v>45804</v>
      </c>
      <c r="C383" s="12" t="inlineStr">
        <is>
          <t>Control</t>
        </is>
      </c>
      <c r="D383" s="12" t="inlineStr">
        <is>
          <t>South</t>
        </is>
      </c>
      <c r="E383" s="12" t="inlineStr">
        <is>
          <t>Mobile</t>
        </is>
      </c>
      <c r="F383" s="12" t="inlineStr">
        <is>
          <t>Referral</t>
        </is>
      </c>
      <c r="G383" s="12" t="inlineStr">
        <is>
          <t>Premium</t>
        </is>
      </c>
      <c r="H383" s="12" t="n">
        <v>1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/>
      <c r="P383" s="12" t="n">
        <v>46</v>
      </c>
    </row>
    <row r="384">
      <c r="A384" s="12" t="inlineStr">
        <is>
          <t>USR-100383</t>
        </is>
      </c>
      <c r="B384" s="29" t="n">
        <v>45777</v>
      </c>
      <c r="C384" s="12" t="inlineStr">
        <is>
          <t>Control</t>
        </is>
      </c>
      <c r="D384" s="12" t="inlineStr">
        <is>
          <t>East</t>
        </is>
      </c>
      <c r="E384" s="12" t="inlineStr">
        <is>
          <t>Mobile</t>
        </is>
      </c>
      <c r="F384" s="12" t="inlineStr">
        <is>
          <t>Organic</t>
        </is>
      </c>
      <c r="G384" s="12" t="inlineStr">
        <is>
          <t>Free</t>
        </is>
      </c>
      <c r="H384" s="12" t="n">
        <v>1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/>
      <c r="P384" s="12" t="n">
        <v>54.1</v>
      </c>
    </row>
    <row r="385">
      <c r="A385" s="12" t="inlineStr">
        <is>
          <t>USR-100384</t>
        </is>
      </c>
      <c r="B385" s="29" t="n">
        <v>45723</v>
      </c>
      <c r="C385" s="12" t="inlineStr">
        <is>
          <t>Control</t>
        </is>
      </c>
      <c r="D385" s="12" t="inlineStr">
        <is>
          <t>West</t>
        </is>
      </c>
      <c r="E385" s="12" t="inlineStr">
        <is>
          <t>Mobile</t>
        </is>
      </c>
      <c r="F385" s="12" t="inlineStr">
        <is>
          <t>Social</t>
        </is>
      </c>
      <c r="G385" s="12" t="inlineStr">
        <is>
          <t>Basic</t>
        </is>
      </c>
      <c r="H385" s="12" t="n">
        <v>1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/>
      <c r="P385" s="12" t="n">
        <v>82.40000000000001</v>
      </c>
    </row>
    <row r="386">
      <c r="A386" s="12" t="inlineStr">
        <is>
          <t>USR-100385</t>
        </is>
      </c>
      <c r="B386" s="29" t="n">
        <v>45787</v>
      </c>
      <c r="C386" s="12" t="inlineStr">
        <is>
          <t>Control</t>
        </is>
      </c>
      <c r="D386" s="12" t="inlineStr">
        <is>
          <t>South</t>
        </is>
      </c>
      <c r="E386" s="12" t="inlineStr">
        <is>
          <t>Mobile</t>
        </is>
      </c>
      <c r="F386" s="12" t="inlineStr">
        <is>
          <t>Organic</t>
        </is>
      </c>
      <c r="G386" s="12" t="inlineStr">
        <is>
          <t>Basic</t>
        </is>
      </c>
      <c r="H386" s="12" t="n">
        <v>1</v>
      </c>
      <c r="I386" s="12" t="n">
        <v>1</v>
      </c>
      <c r="J386" s="12" t="n">
        <v>1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/>
      <c r="P386" s="12" t="n">
        <v>71.90000000000001</v>
      </c>
    </row>
    <row r="387">
      <c r="A387" s="12" t="inlineStr">
        <is>
          <t>USR-100386</t>
        </is>
      </c>
      <c r="B387" s="29" t="n">
        <v>45799</v>
      </c>
      <c r="C387" s="12" t="inlineStr">
        <is>
          <t>Control</t>
        </is>
      </c>
      <c r="D387" s="12" t="inlineStr">
        <is>
          <t>East</t>
        </is>
      </c>
      <c r="E387" s="12" t="inlineStr">
        <is>
          <t>Mobile</t>
        </is>
      </c>
      <c r="F387" s="12" t="inlineStr">
        <is>
          <t>Organic</t>
        </is>
      </c>
      <c r="G387" s="12" t="inlineStr">
        <is>
          <t>Free</t>
        </is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2</v>
      </c>
      <c r="N387" s="12" t="n">
        <v>0</v>
      </c>
      <c r="O387" s="12" t="n"/>
      <c r="P387" s="12" t="n">
        <v>38</v>
      </c>
    </row>
    <row r="388">
      <c r="A388" s="12" t="inlineStr">
        <is>
          <t>USR-100387</t>
        </is>
      </c>
      <c r="B388" s="29" t="n">
        <v>45697</v>
      </c>
      <c r="C388" s="12" t="inlineStr">
        <is>
          <t>Control</t>
        </is>
      </c>
      <c r="D388" s="12" t="inlineStr">
        <is>
          <t>East</t>
        </is>
      </c>
      <c r="E388" s="12" t="inlineStr">
        <is>
          <t>Mobile</t>
        </is>
      </c>
      <c r="F388" s="12" t="inlineStr">
        <is>
          <t>Paid Search</t>
        </is>
      </c>
      <c r="G388" s="12" t="inlineStr">
        <is>
          <t>Free</t>
        </is>
      </c>
      <c r="H388" s="12" t="n">
        <v>1</v>
      </c>
      <c r="I388" s="12" t="n">
        <v>1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/>
      <c r="P388" s="12" t="n">
        <v>43.7</v>
      </c>
    </row>
    <row r="389">
      <c r="A389" s="12" t="inlineStr">
        <is>
          <t>USR-100388</t>
        </is>
      </c>
      <c r="B389" s="29" t="n">
        <v>45807</v>
      </c>
      <c r="C389" s="12" t="inlineStr">
        <is>
          <t>Control</t>
        </is>
      </c>
      <c r="D389" s="12" t="inlineStr">
        <is>
          <t>West</t>
        </is>
      </c>
      <c r="E389" s="12" t="inlineStr">
        <is>
          <t>Desktop</t>
        </is>
      </c>
      <c r="F389" s="12" t="inlineStr">
        <is>
          <t>Organic</t>
        </is>
      </c>
      <c r="G389" s="12" t="inlineStr">
        <is>
          <t>Premium</t>
        </is>
      </c>
      <c r="H389" s="12" t="n">
        <v>1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1</v>
      </c>
      <c r="N389" s="12" t="n">
        <v>0</v>
      </c>
      <c r="O389" s="12" t="n"/>
      <c r="P389" s="12" t="n">
        <v>32.2</v>
      </c>
    </row>
    <row r="390">
      <c r="A390" s="12" t="inlineStr">
        <is>
          <t>USR-100389</t>
        </is>
      </c>
      <c r="B390" s="29" t="n">
        <v>45778</v>
      </c>
      <c r="C390" s="12" t="inlineStr">
        <is>
          <t>Control</t>
        </is>
      </c>
      <c r="D390" s="12" t="inlineStr">
        <is>
          <t>South</t>
        </is>
      </c>
      <c r="E390" s="12" t="inlineStr">
        <is>
          <t>Mobile</t>
        </is>
      </c>
      <c r="F390" s="12" t="inlineStr">
        <is>
          <t>Organic</t>
        </is>
      </c>
      <c r="G390" s="12" t="inlineStr">
        <is>
          <t>Premium</t>
        </is>
      </c>
      <c r="H390" s="12" t="n">
        <v>1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/>
      <c r="P390" s="12" t="n">
        <v>61</v>
      </c>
    </row>
    <row r="391">
      <c r="A391" s="12" t="inlineStr">
        <is>
          <t>USR-100390</t>
        </is>
      </c>
      <c r="B391" s="29" t="n">
        <v>45660</v>
      </c>
      <c r="C391" s="12" t="inlineStr">
        <is>
          <t>Control</t>
        </is>
      </c>
      <c r="D391" s="12" t="inlineStr">
        <is>
          <t>South</t>
        </is>
      </c>
      <c r="E391" s="12" t="inlineStr">
        <is>
          <t>Mobile</t>
        </is>
      </c>
      <c r="F391" s="12" t="inlineStr">
        <is>
          <t>Paid Search</t>
        </is>
      </c>
      <c r="G391" s="12" t="inlineStr">
        <is>
          <t>Free</t>
        </is>
      </c>
      <c r="H391" s="12" t="n">
        <v>1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/>
      <c r="P391" s="12" t="n">
        <v>49</v>
      </c>
    </row>
    <row r="392">
      <c r="A392" s="12" t="inlineStr">
        <is>
          <t>USR-100391</t>
        </is>
      </c>
      <c r="B392" s="29" t="n">
        <v>45701</v>
      </c>
      <c r="C392" s="12" t="inlineStr">
        <is>
          <t>Control</t>
        </is>
      </c>
      <c r="D392" s="12" t="inlineStr">
        <is>
          <t>East</t>
        </is>
      </c>
      <c r="E392" s="12" t="inlineStr">
        <is>
          <t>Mobile</t>
        </is>
      </c>
      <c r="F392" s="12" t="inlineStr">
        <is>
          <t>Organic</t>
        </is>
      </c>
      <c r="G392" s="12" t="inlineStr">
        <is>
          <t>Free</t>
        </is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/>
      <c r="P392" s="12" t="n">
        <v>48.1</v>
      </c>
    </row>
    <row r="393">
      <c r="A393" s="12" t="inlineStr">
        <is>
          <t>USR-100392</t>
        </is>
      </c>
      <c r="B393" s="29" t="n">
        <v>45671</v>
      </c>
      <c r="C393" s="12" t="inlineStr">
        <is>
          <t>Control</t>
        </is>
      </c>
      <c r="D393" s="12" t="inlineStr">
        <is>
          <t>South</t>
        </is>
      </c>
      <c r="E393" s="12" t="inlineStr">
        <is>
          <t>Desktop</t>
        </is>
      </c>
      <c r="F393" s="12" t="inlineStr">
        <is>
          <t>Organic</t>
        </is>
      </c>
      <c r="G393" s="12" t="inlineStr">
        <is>
          <t>Free</t>
        </is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2</v>
      </c>
      <c r="N393" s="12" t="n">
        <v>0</v>
      </c>
      <c r="O393" s="12" t="n"/>
      <c r="P393" s="12" t="n">
        <v>46.3</v>
      </c>
    </row>
    <row r="394">
      <c r="A394" s="12" t="inlineStr">
        <is>
          <t>USR-100393</t>
        </is>
      </c>
      <c r="B394" s="29" t="n">
        <v>45712</v>
      </c>
      <c r="C394" s="12" t="inlineStr">
        <is>
          <t>Control</t>
        </is>
      </c>
      <c r="D394" s="12" t="inlineStr">
        <is>
          <t>North</t>
        </is>
      </c>
      <c r="E394" s="12" t="inlineStr">
        <is>
          <t>Mobile</t>
        </is>
      </c>
      <c r="F394" s="12" t="inlineStr">
        <is>
          <t>Referral</t>
        </is>
      </c>
      <c r="G394" s="12" t="inlineStr">
        <is>
          <t>Free</t>
        </is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/>
      <c r="P394" s="12" t="n">
        <v>64</v>
      </c>
    </row>
    <row r="395">
      <c r="A395" s="12" t="inlineStr">
        <is>
          <t>USR-100394</t>
        </is>
      </c>
      <c r="B395" s="29" t="n">
        <v>45793</v>
      </c>
      <c r="C395" s="12" t="inlineStr">
        <is>
          <t>Control</t>
        </is>
      </c>
      <c r="D395" s="12" t="inlineStr">
        <is>
          <t>West</t>
        </is>
      </c>
      <c r="E395" s="12" t="inlineStr">
        <is>
          <t>Desktop</t>
        </is>
      </c>
      <c r="F395" s="12" t="inlineStr">
        <is>
          <t>Organic</t>
        </is>
      </c>
      <c r="G395" s="12" t="inlineStr">
        <is>
          <t>Basic</t>
        </is>
      </c>
      <c r="H395" s="12" t="n">
        <v>1</v>
      </c>
      <c r="I395" s="12" t="n">
        <v>1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/>
      <c r="P395" s="12" t="n">
        <v>56.2</v>
      </c>
    </row>
    <row r="396">
      <c r="A396" s="12" t="inlineStr">
        <is>
          <t>USR-100395</t>
        </is>
      </c>
      <c r="B396" s="29" t="n">
        <v>45776</v>
      </c>
      <c r="C396" s="12" t="inlineStr">
        <is>
          <t>Control</t>
        </is>
      </c>
      <c r="D396" s="12" t="inlineStr">
        <is>
          <t>North</t>
        </is>
      </c>
      <c r="E396" s="12" t="inlineStr">
        <is>
          <t>Mobile</t>
        </is>
      </c>
      <c r="F396" s="12" t="inlineStr">
        <is>
          <t>Paid Search</t>
        </is>
      </c>
      <c r="G396" s="12" t="inlineStr">
        <is>
          <t>Free</t>
        </is>
      </c>
      <c r="H396" s="12" t="n">
        <v>1</v>
      </c>
      <c r="I396" s="12" t="n">
        <v>1</v>
      </c>
      <c r="J396" s="12" t="n">
        <v>1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/>
      <c r="P396" s="12" t="n">
        <v>77.5</v>
      </c>
    </row>
    <row r="397">
      <c r="A397" s="12" t="inlineStr">
        <is>
          <t>USR-100396</t>
        </is>
      </c>
      <c r="B397" s="29" t="n">
        <v>45777</v>
      </c>
      <c r="C397" s="12" t="inlineStr">
        <is>
          <t>Control</t>
        </is>
      </c>
      <c r="D397" s="12" t="inlineStr">
        <is>
          <t>South</t>
        </is>
      </c>
      <c r="E397" s="12" t="inlineStr">
        <is>
          <t>Desktop</t>
        </is>
      </c>
      <c r="F397" s="12" t="inlineStr">
        <is>
          <t>Email</t>
        </is>
      </c>
      <c r="G397" s="12" t="inlineStr">
        <is>
          <t>Basic</t>
        </is>
      </c>
      <c r="H397" s="12" t="n">
        <v>1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/>
      <c r="P397" s="12" t="n">
        <v>59.9</v>
      </c>
    </row>
    <row r="398">
      <c r="A398" s="12" t="inlineStr">
        <is>
          <t>USR-100397</t>
        </is>
      </c>
      <c r="B398" s="29" t="n">
        <v>45666</v>
      </c>
      <c r="C398" s="12" t="inlineStr">
        <is>
          <t>Control</t>
        </is>
      </c>
      <c r="D398" s="12" t="inlineStr">
        <is>
          <t>South</t>
        </is>
      </c>
      <c r="E398" s="12" t="inlineStr">
        <is>
          <t>Desktop</t>
        </is>
      </c>
      <c r="F398" s="12" t="inlineStr">
        <is>
          <t>Organic</t>
        </is>
      </c>
      <c r="G398" s="12" t="inlineStr">
        <is>
          <t>Free</t>
        </is>
      </c>
      <c r="H398" s="12" t="n">
        <v>1</v>
      </c>
      <c r="I398" s="12" t="n">
        <v>1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/>
      <c r="P398" s="12" t="n">
        <v>63</v>
      </c>
    </row>
    <row r="399">
      <c r="A399" s="12" t="inlineStr">
        <is>
          <t>USR-100398</t>
        </is>
      </c>
      <c r="B399" s="29" t="n">
        <v>45772</v>
      </c>
      <c r="C399" s="12" t="inlineStr">
        <is>
          <t>Control</t>
        </is>
      </c>
      <c r="D399" s="12" t="inlineStr">
        <is>
          <t>South</t>
        </is>
      </c>
      <c r="E399" s="12" t="inlineStr">
        <is>
          <t>Mobile</t>
        </is>
      </c>
      <c r="F399" s="12" t="inlineStr">
        <is>
          <t>Organic</t>
        </is>
      </c>
      <c r="G399" s="12" t="inlineStr">
        <is>
          <t>Free</t>
        </is>
      </c>
      <c r="H399" s="12" t="n">
        <v>1</v>
      </c>
      <c r="I399" s="12" t="n">
        <v>1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/>
      <c r="P399" s="12" t="n">
        <v>76.5</v>
      </c>
    </row>
    <row r="400">
      <c r="A400" s="12" t="inlineStr">
        <is>
          <t>USR-100399</t>
        </is>
      </c>
      <c r="B400" s="29" t="n">
        <v>45728</v>
      </c>
      <c r="C400" s="12" t="inlineStr">
        <is>
          <t>Control</t>
        </is>
      </c>
      <c r="D400" s="12" t="inlineStr">
        <is>
          <t>North</t>
        </is>
      </c>
      <c r="E400" s="12" t="inlineStr">
        <is>
          <t>Desktop</t>
        </is>
      </c>
      <c r="F400" s="12" t="inlineStr">
        <is>
          <t>Paid Search</t>
        </is>
      </c>
      <c r="G400" s="12" t="inlineStr">
        <is>
          <t>Free</t>
        </is>
      </c>
      <c r="H400" s="12" t="n">
        <v>1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/>
      <c r="P400" s="12" t="n">
        <v>39.7</v>
      </c>
    </row>
    <row r="401">
      <c r="A401" s="12" t="inlineStr">
        <is>
          <t>USR-100400</t>
        </is>
      </c>
      <c r="B401" s="29" t="n">
        <v>45736</v>
      </c>
      <c r="C401" s="12" t="inlineStr">
        <is>
          <t>Control</t>
        </is>
      </c>
      <c r="D401" s="12" t="inlineStr">
        <is>
          <t>North</t>
        </is>
      </c>
      <c r="E401" s="12" t="inlineStr">
        <is>
          <t>Mobile</t>
        </is>
      </c>
      <c r="F401" s="12" t="inlineStr">
        <is>
          <t>Organic</t>
        </is>
      </c>
      <c r="G401" s="12" t="inlineStr">
        <is>
          <t>Free</t>
        </is>
      </c>
      <c r="H401" s="12" t="n">
        <v>1</v>
      </c>
      <c r="I401" s="12" t="n">
        <v>1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/>
      <c r="P401" s="12" t="n">
        <v>80.2</v>
      </c>
    </row>
    <row r="402">
      <c r="A402" s="12" t="inlineStr">
        <is>
          <t>USR-100401</t>
        </is>
      </c>
      <c r="B402" s="29" t="n">
        <v>45706</v>
      </c>
      <c r="C402" s="12" t="inlineStr">
        <is>
          <t>Control</t>
        </is>
      </c>
      <c r="D402" s="12" t="inlineStr">
        <is>
          <t>West</t>
        </is>
      </c>
      <c r="E402" s="12" t="inlineStr">
        <is>
          <t>Mobile</t>
        </is>
      </c>
      <c r="F402" s="12" t="inlineStr">
        <is>
          <t>Paid Search</t>
        </is>
      </c>
      <c r="G402" s="12" t="inlineStr">
        <is>
          <t>Free</t>
        </is>
      </c>
      <c r="H402" s="12" t="n">
        <v>1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/>
      <c r="P402" s="12" t="n">
        <v>72.2</v>
      </c>
    </row>
    <row r="403">
      <c r="A403" s="12" t="inlineStr">
        <is>
          <t>USR-100402</t>
        </is>
      </c>
      <c r="B403" s="29" t="n">
        <v>45679</v>
      </c>
      <c r="C403" s="12" t="inlineStr">
        <is>
          <t>Control</t>
        </is>
      </c>
      <c r="D403" s="12" t="inlineStr">
        <is>
          <t>North</t>
        </is>
      </c>
      <c r="E403" s="12" t="inlineStr">
        <is>
          <t>Mobile</t>
        </is>
      </c>
      <c r="F403" s="12" t="inlineStr">
        <is>
          <t>Social</t>
        </is>
      </c>
      <c r="G403" s="12" t="inlineStr">
        <is>
          <t>Basic</t>
        </is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/>
      <c r="P403" s="12" t="n">
        <v>56</v>
      </c>
    </row>
    <row r="404">
      <c r="A404" s="12" t="inlineStr">
        <is>
          <t>USR-100403</t>
        </is>
      </c>
      <c r="B404" s="29" t="n">
        <v>45696</v>
      </c>
      <c r="C404" s="12" t="inlineStr">
        <is>
          <t>Control</t>
        </is>
      </c>
      <c r="D404" s="12" t="inlineStr">
        <is>
          <t>West</t>
        </is>
      </c>
      <c r="E404" s="12" t="inlineStr">
        <is>
          <t>Mobile</t>
        </is>
      </c>
      <c r="F404" s="12" t="inlineStr">
        <is>
          <t>Email</t>
        </is>
      </c>
      <c r="G404" s="12" t="inlineStr">
        <is>
          <t>Basic</t>
        </is>
      </c>
      <c r="H404" s="12" t="n">
        <v>1</v>
      </c>
      <c r="I404" s="12" t="n">
        <v>1</v>
      </c>
      <c r="J404" s="12" t="n">
        <v>1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/>
      <c r="P404" s="12" t="n">
        <v>69.09999999999999</v>
      </c>
    </row>
    <row r="405">
      <c r="A405" s="12" t="inlineStr">
        <is>
          <t>USR-100404</t>
        </is>
      </c>
      <c r="B405" s="29" t="n">
        <v>45677</v>
      </c>
      <c r="C405" s="12" t="inlineStr">
        <is>
          <t>Control</t>
        </is>
      </c>
      <c r="D405" s="12" t="inlineStr">
        <is>
          <t>North</t>
        </is>
      </c>
      <c r="E405" s="12" t="inlineStr">
        <is>
          <t>Mobile</t>
        </is>
      </c>
      <c r="F405" s="12" t="inlineStr">
        <is>
          <t>Email</t>
        </is>
      </c>
      <c r="G405" s="12" t="inlineStr">
        <is>
          <t>Premium</t>
        </is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1</v>
      </c>
      <c r="N405" s="12" t="n">
        <v>0</v>
      </c>
      <c r="O405" s="12" t="n"/>
      <c r="P405" s="12" t="n">
        <v>70.59999999999999</v>
      </c>
    </row>
    <row r="406">
      <c r="A406" s="12" t="inlineStr">
        <is>
          <t>USR-100405</t>
        </is>
      </c>
      <c r="B406" s="29" t="n">
        <v>45769</v>
      </c>
      <c r="C406" s="12" t="inlineStr">
        <is>
          <t>Control</t>
        </is>
      </c>
      <c r="D406" s="12" t="inlineStr">
        <is>
          <t>West</t>
        </is>
      </c>
      <c r="E406" s="12" t="inlineStr">
        <is>
          <t>Desktop</t>
        </is>
      </c>
      <c r="F406" s="12" t="inlineStr">
        <is>
          <t>Referral</t>
        </is>
      </c>
      <c r="G406" s="12" t="inlineStr">
        <is>
          <t>Free</t>
        </is>
      </c>
      <c r="H406" s="12" t="n">
        <v>1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/>
      <c r="P406" s="12" t="n">
        <v>57.9</v>
      </c>
    </row>
    <row r="407">
      <c r="A407" s="12" t="inlineStr">
        <is>
          <t>USR-100406</t>
        </is>
      </c>
      <c r="B407" s="29" t="n">
        <v>45679</v>
      </c>
      <c r="C407" s="12" t="inlineStr">
        <is>
          <t>Control</t>
        </is>
      </c>
      <c r="D407" s="12" t="inlineStr">
        <is>
          <t>East</t>
        </is>
      </c>
      <c r="E407" s="12" t="inlineStr">
        <is>
          <t>Mobile</t>
        </is>
      </c>
      <c r="F407" s="12" t="inlineStr">
        <is>
          <t>Organic</t>
        </is>
      </c>
      <c r="G407" s="12" t="inlineStr">
        <is>
          <t>Basic</t>
        </is>
      </c>
      <c r="H407" s="12" t="n">
        <v>1</v>
      </c>
      <c r="I407" s="12" t="n">
        <v>1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/>
      <c r="P407" s="12" t="n">
        <v>41.4</v>
      </c>
    </row>
    <row r="408">
      <c r="A408" s="12" t="inlineStr">
        <is>
          <t>USR-100407</t>
        </is>
      </c>
      <c r="B408" s="29" t="n">
        <v>45788</v>
      </c>
      <c r="C408" s="12" t="inlineStr">
        <is>
          <t>Control</t>
        </is>
      </c>
      <c r="D408" s="12" t="inlineStr">
        <is>
          <t>West</t>
        </is>
      </c>
      <c r="E408" s="12" t="inlineStr">
        <is>
          <t>Mobile</t>
        </is>
      </c>
      <c r="F408" s="12" t="inlineStr">
        <is>
          <t>Organic</t>
        </is>
      </c>
      <c r="G408" s="12" t="inlineStr">
        <is>
          <t>Basic</t>
        </is>
      </c>
      <c r="H408" s="12" t="n">
        <v>1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/>
      <c r="P408" s="12" t="n">
        <v>60.9</v>
      </c>
    </row>
    <row r="409">
      <c r="A409" s="12" t="inlineStr">
        <is>
          <t>USR-100408</t>
        </is>
      </c>
      <c r="B409" s="29" t="n">
        <v>45694</v>
      </c>
      <c r="C409" s="12" t="inlineStr">
        <is>
          <t>Control</t>
        </is>
      </c>
      <c r="D409" s="12" t="inlineStr">
        <is>
          <t>South</t>
        </is>
      </c>
      <c r="E409" s="12" t="inlineStr">
        <is>
          <t>Mobile</t>
        </is>
      </c>
      <c r="F409" s="12" t="inlineStr">
        <is>
          <t>Organic</t>
        </is>
      </c>
      <c r="G409" s="12" t="inlineStr">
        <is>
          <t>Basic</t>
        </is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1</v>
      </c>
      <c r="N409" s="12" t="n">
        <v>0</v>
      </c>
      <c r="O409" s="12" t="n"/>
      <c r="P409" s="12" t="n">
        <v>63.8</v>
      </c>
    </row>
    <row r="410">
      <c r="A410" s="12" t="inlineStr">
        <is>
          <t>USR-100409</t>
        </is>
      </c>
      <c r="B410" s="29" t="n">
        <v>45709</v>
      </c>
      <c r="C410" s="12" t="inlineStr">
        <is>
          <t>Control</t>
        </is>
      </c>
      <c r="D410" s="12" t="inlineStr">
        <is>
          <t>North</t>
        </is>
      </c>
      <c r="E410" s="12" t="inlineStr">
        <is>
          <t>Desktop</t>
        </is>
      </c>
      <c r="F410" s="12" t="inlineStr">
        <is>
          <t>Organic</t>
        </is>
      </c>
      <c r="G410" s="12" t="inlineStr">
        <is>
          <t>Premium</t>
        </is>
      </c>
      <c r="H410" s="12" t="n">
        <v>1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/>
      <c r="P410" s="12" t="n">
        <v>79.2</v>
      </c>
    </row>
    <row r="411">
      <c r="A411" s="12" t="inlineStr">
        <is>
          <t>USR-100410</t>
        </is>
      </c>
      <c r="B411" s="29" t="n">
        <v>45670</v>
      </c>
      <c r="C411" s="12" t="inlineStr">
        <is>
          <t>Control</t>
        </is>
      </c>
      <c r="D411" s="12" t="inlineStr">
        <is>
          <t>West</t>
        </is>
      </c>
      <c r="E411" s="12" t="inlineStr">
        <is>
          <t>Mobile</t>
        </is>
      </c>
      <c r="F411" s="12" t="inlineStr">
        <is>
          <t>Email</t>
        </is>
      </c>
      <c r="G411" s="12" t="inlineStr">
        <is>
          <t>Premium</t>
        </is>
      </c>
      <c r="H411" s="12" t="n">
        <v>1</v>
      </c>
      <c r="I411" s="12" t="n">
        <v>1</v>
      </c>
      <c r="J411" s="12" t="n">
        <v>1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/>
      <c r="P411" s="12" t="n">
        <v>53.3</v>
      </c>
    </row>
    <row r="412">
      <c r="A412" s="12" t="inlineStr">
        <is>
          <t>USR-100411</t>
        </is>
      </c>
      <c r="B412" s="29" t="n">
        <v>45723</v>
      </c>
      <c r="C412" s="12" t="inlineStr">
        <is>
          <t>Control</t>
        </is>
      </c>
      <c r="D412" s="12" t="inlineStr">
        <is>
          <t>North</t>
        </is>
      </c>
      <c r="E412" s="12" t="inlineStr">
        <is>
          <t>Mobile</t>
        </is>
      </c>
      <c r="F412" s="12" t="inlineStr">
        <is>
          <t>Referral</t>
        </is>
      </c>
      <c r="G412" s="12" t="inlineStr">
        <is>
          <t>Premium</t>
        </is>
      </c>
      <c r="H412" s="12" t="n">
        <v>1</v>
      </c>
      <c r="I412" s="12" t="n">
        <v>1</v>
      </c>
      <c r="J412" s="12" t="n">
        <v>1</v>
      </c>
      <c r="K412" s="12" t="n">
        <v>1</v>
      </c>
      <c r="L412" s="12" t="n">
        <v>2144.82</v>
      </c>
      <c r="M412" s="12" t="n">
        <v>0</v>
      </c>
      <c r="N412" s="12" t="n">
        <v>0</v>
      </c>
      <c r="O412" s="12" t="n">
        <v>6</v>
      </c>
      <c r="P412" s="12" t="n">
        <v>52.3</v>
      </c>
    </row>
    <row r="413">
      <c r="A413" s="12" t="inlineStr">
        <is>
          <t>USR-100412</t>
        </is>
      </c>
      <c r="B413" s="29" t="n">
        <v>45714</v>
      </c>
      <c r="C413" s="12" t="inlineStr">
        <is>
          <t>Control</t>
        </is>
      </c>
      <c r="D413" s="12" t="inlineStr">
        <is>
          <t>West</t>
        </is>
      </c>
      <c r="E413" s="12" t="inlineStr">
        <is>
          <t>Desktop</t>
        </is>
      </c>
      <c r="F413" s="12" t="inlineStr">
        <is>
          <t>Organic</t>
        </is>
      </c>
      <c r="G413" s="12" t="inlineStr">
        <is>
          <t>Basic</t>
        </is>
      </c>
      <c r="H413" s="12" t="n">
        <v>1</v>
      </c>
      <c r="I413" s="12" t="n">
        <v>1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/>
      <c r="P413" s="12" t="n">
        <v>62.4</v>
      </c>
    </row>
    <row r="414">
      <c r="A414" s="12" t="inlineStr">
        <is>
          <t>USR-100413</t>
        </is>
      </c>
      <c r="B414" s="29" t="n">
        <v>45782</v>
      </c>
      <c r="C414" s="12" t="inlineStr">
        <is>
          <t>Control</t>
        </is>
      </c>
      <c r="D414" s="12" t="inlineStr">
        <is>
          <t>North</t>
        </is>
      </c>
      <c r="E414" s="12" t="inlineStr">
        <is>
          <t>Mobile</t>
        </is>
      </c>
      <c r="F414" s="12" t="inlineStr">
        <is>
          <t>Referral</t>
        </is>
      </c>
      <c r="G414" s="12" t="inlineStr">
        <is>
          <t>Premium</t>
        </is>
      </c>
      <c r="H414" s="12" t="n">
        <v>1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/>
      <c r="P414" s="12" t="n">
        <v>45.5</v>
      </c>
    </row>
    <row r="415">
      <c r="A415" s="12" t="inlineStr">
        <is>
          <t>USR-100414</t>
        </is>
      </c>
      <c r="B415" s="29" t="n">
        <v>45665</v>
      </c>
      <c r="C415" s="12" t="inlineStr">
        <is>
          <t>Control</t>
        </is>
      </c>
      <c r="D415" s="12" t="inlineStr">
        <is>
          <t>East</t>
        </is>
      </c>
      <c r="E415" s="12" t="inlineStr">
        <is>
          <t>Desktop</t>
        </is>
      </c>
      <c r="F415" s="12" t="inlineStr">
        <is>
          <t>Organic</t>
        </is>
      </c>
      <c r="G415" s="12" t="inlineStr">
        <is>
          <t>Basic</t>
        </is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1</v>
      </c>
      <c r="N415" s="12" t="n">
        <v>0</v>
      </c>
      <c r="O415" s="12" t="n"/>
      <c r="P415" s="12" t="n">
        <v>72.59999999999999</v>
      </c>
    </row>
    <row r="416">
      <c r="A416" s="12" t="inlineStr">
        <is>
          <t>USR-100415</t>
        </is>
      </c>
      <c r="B416" s="29" t="n">
        <v>45735</v>
      </c>
      <c r="C416" s="12" t="inlineStr">
        <is>
          <t>Control</t>
        </is>
      </c>
      <c r="D416" s="12" t="inlineStr">
        <is>
          <t>South</t>
        </is>
      </c>
      <c r="E416" s="12" t="inlineStr">
        <is>
          <t>Mobile</t>
        </is>
      </c>
      <c r="F416" s="12" t="inlineStr">
        <is>
          <t>Email</t>
        </is>
      </c>
      <c r="G416" s="12" t="inlineStr">
        <is>
          <t>Premium</t>
        </is>
      </c>
      <c r="H416" s="12" t="n">
        <v>1</v>
      </c>
      <c r="I416" s="12" t="n">
        <v>1</v>
      </c>
      <c r="J416" s="12" t="n">
        <v>1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/>
      <c r="P416" s="12" t="n">
        <v>50.1</v>
      </c>
    </row>
    <row r="417">
      <c r="A417" s="12" t="inlineStr">
        <is>
          <t>USR-100416</t>
        </is>
      </c>
      <c r="B417" s="29" t="n">
        <v>45687</v>
      </c>
      <c r="C417" s="12" t="inlineStr">
        <is>
          <t>Control</t>
        </is>
      </c>
      <c r="D417" s="12" t="inlineStr">
        <is>
          <t>East</t>
        </is>
      </c>
      <c r="E417" s="12" t="inlineStr">
        <is>
          <t>Desktop</t>
        </is>
      </c>
      <c r="F417" s="12" t="inlineStr">
        <is>
          <t>Paid Search</t>
        </is>
      </c>
      <c r="G417" s="12" t="inlineStr">
        <is>
          <t>Free</t>
        </is>
      </c>
      <c r="H417" s="12" t="n">
        <v>1</v>
      </c>
      <c r="I417" s="12" t="n">
        <v>1</v>
      </c>
      <c r="J417" s="12" t="n">
        <v>1</v>
      </c>
      <c r="K417" s="12" t="n">
        <v>0</v>
      </c>
      <c r="L417" s="12" t="n">
        <v>0</v>
      </c>
      <c r="M417" s="12" t="n">
        <v>2</v>
      </c>
      <c r="N417" s="12" t="n">
        <v>0</v>
      </c>
      <c r="O417" s="12" t="n"/>
      <c r="P417" s="12" t="n">
        <v>58.1</v>
      </c>
    </row>
    <row r="418">
      <c r="A418" s="12" t="inlineStr">
        <is>
          <t>USR-100417</t>
        </is>
      </c>
      <c r="B418" s="29" t="n">
        <v>45775</v>
      </c>
      <c r="C418" s="12" t="inlineStr">
        <is>
          <t>Control</t>
        </is>
      </c>
      <c r="D418" s="12" t="inlineStr">
        <is>
          <t>East</t>
        </is>
      </c>
      <c r="E418" s="12" t="inlineStr">
        <is>
          <t>Mobile</t>
        </is>
      </c>
      <c r="F418" s="12" t="inlineStr">
        <is>
          <t>Organic</t>
        </is>
      </c>
      <c r="G418" s="12" t="inlineStr">
        <is>
          <t>Basic</t>
        </is>
      </c>
      <c r="H418" s="12" t="n">
        <v>1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/>
      <c r="P418" s="12" t="n">
        <v>42.9</v>
      </c>
    </row>
    <row r="419">
      <c r="A419" s="12" t="inlineStr">
        <is>
          <t>USR-100418</t>
        </is>
      </c>
      <c r="B419" s="29" t="n">
        <v>45723</v>
      </c>
      <c r="C419" s="12" t="inlineStr">
        <is>
          <t>Control</t>
        </is>
      </c>
      <c r="D419" s="12" t="inlineStr">
        <is>
          <t>North</t>
        </is>
      </c>
      <c r="E419" s="12" t="inlineStr">
        <is>
          <t>Mobile</t>
        </is>
      </c>
      <c r="F419" s="12" t="inlineStr">
        <is>
          <t>Referral</t>
        </is>
      </c>
      <c r="G419" s="12" t="inlineStr">
        <is>
          <t>Basic</t>
        </is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/>
      <c r="P419" s="12" t="n">
        <v>69.7</v>
      </c>
    </row>
    <row r="420">
      <c r="A420" s="12" t="inlineStr">
        <is>
          <t>USR-100419</t>
        </is>
      </c>
      <c r="B420" s="29" t="n">
        <v>45754</v>
      </c>
      <c r="C420" s="12" t="inlineStr">
        <is>
          <t>Control</t>
        </is>
      </c>
      <c r="D420" s="12" t="inlineStr">
        <is>
          <t>North</t>
        </is>
      </c>
      <c r="E420" s="12" t="inlineStr">
        <is>
          <t>Desktop</t>
        </is>
      </c>
      <c r="F420" s="12" t="inlineStr">
        <is>
          <t>Organic</t>
        </is>
      </c>
      <c r="G420" s="12" t="inlineStr">
        <is>
          <t>Free</t>
        </is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/>
      <c r="P420" s="12" t="n">
        <v>63.3</v>
      </c>
    </row>
    <row r="421">
      <c r="A421" s="12" t="inlineStr">
        <is>
          <t>USR-100420</t>
        </is>
      </c>
      <c r="B421" s="29" t="n">
        <v>45785</v>
      </c>
      <c r="C421" s="12" t="inlineStr">
        <is>
          <t>Control</t>
        </is>
      </c>
      <c r="D421" s="12" t="inlineStr">
        <is>
          <t>North</t>
        </is>
      </c>
      <c r="E421" s="12" t="inlineStr">
        <is>
          <t>Desktop</t>
        </is>
      </c>
      <c r="F421" s="12" t="inlineStr">
        <is>
          <t>Organic</t>
        </is>
      </c>
      <c r="G421" s="12" t="inlineStr">
        <is>
          <t>Premium</t>
        </is>
      </c>
      <c r="H421" s="12" t="n">
        <v>1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/>
      <c r="P421" s="12" t="n">
        <v>71.2</v>
      </c>
    </row>
    <row r="422">
      <c r="A422" s="12" t="inlineStr">
        <is>
          <t>USR-100421</t>
        </is>
      </c>
      <c r="B422" s="29" t="n">
        <v>45762</v>
      </c>
      <c r="C422" s="12" t="inlineStr">
        <is>
          <t>Control</t>
        </is>
      </c>
      <c r="D422" s="12" t="inlineStr">
        <is>
          <t>South</t>
        </is>
      </c>
      <c r="E422" s="12" t="inlineStr">
        <is>
          <t>Mobile</t>
        </is>
      </c>
      <c r="F422" s="12" t="inlineStr">
        <is>
          <t>Email</t>
        </is>
      </c>
      <c r="G422" s="12" t="inlineStr">
        <is>
          <t>Free</t>
        </is>
      </c>
      <c r="H422" s="12" t="n">
        <v>1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/>
      <c r="P422" s="12" t="n">
        <v>39.1</v>
      </c>
    </row>
    <row r="423">
      <c r="A423" s="12" t="inlineStr">
        <is>
          <t>USR-100422</t>
        </is>
      </c>
      <c r="B423" s="29" t="n">
        <v>45767</v>
      </c>
      <c r="C423" s="12" t="inlineStr">
        <is>
          <t>Control</t>
        </is>
      </c>
      <c r="D423" s="12" t="inlineStr">
        <is>
          <t>East</t>
        </is>
      </c>
      <c r="E423" s="12" t="inlineStr">
        <is>
          <t>Desktop</t>
        </is>
      </c>
      <c r="F423" s="12" t="inlineStr">
        <is>
          <t>Social</t>
        </is>
      </c>
      <c r="G423" s="12" t="inlineStr">
        <is>
          <t>Free</t>
        </is>
      </c>
      <c r="H423" s="12" t="n">
        <v>1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/>
      <c r="P423" s="12" t="n">
        <v>42.6</v>
      </c>
    </row>
    <row r="424">
      <c r="A424" s="12" t="inlineStr">
        <is>
          <t>USR-100423</t>
        </is>
      </c>
      <c r="B424" s="29" t="n">
        <v>45807</v>
      </c>
      <c r="C424" s="12" t="inlineStr">
        <is>
          <t>Control</t>
        </is>
      </c>
      <c r="D424" s="12" t="inlineStr">
        <is>
          <t>South</t>
        </is>
      </c>
      <c r="E424" s="12" t="inlineStr">
        <is>
          <t>Tablet</t>
        </is>
      </c>
      <c r="F424" s="12" t="inlineStr">
        <is>
          <t>Organic</t>
        </is>
      </c>
      <c r="G424" s="12" t="inlineStr">
        <is>
          <t>Free</t>
        </is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/>
      <c r="P424" s="12" t="n">
        <v>74.40000000000001</v>
      </c>
    </row>
    <row r="425">
      <c r="A425" s="12" t="inlineStr">
        <is>
          <t>USR-100424</t>
        </is>
      </c>
      <c r="B425" s="29" t="n">
        <v>45701</v>
      </c>
      <c r="C425" s="12" t="inlineStr">
        <is>
          <t>Control</t>
        </is>
      </c>
      <c r="D425" s="12" t="inlineStr">
        <is>
          <t>West</t>
        </is>
      </c>
      <c r="E425" s="12" t="inlineStr">
        <is>
          <t>Mobile</t>
        </is>
      </c>
      <c r="F425" s="12" t="inlineStr">
        <is>
          <t>Referral</t>
        </is>
      </c>
      <c r="G425" s="12" t="inlineStr">
        <is>
          <t>Free</t>
        </is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/>
      <c r="P425" s="12" t="n">
        <v>55.6</v>
      </c>
    </row>
    <row r="426">
      <c r="A426" s="12" t="inlineStr">
        <is>
          <t>USR-100425</t>
        </is>
      </c>
      <c r="B426" s="29" t="n">
        <v>45775</v>
      </c>
      <c r="C426" s="12" t="inlineStr">
        <is>
          <t>Control</t>
        </is>
      </c>
      <c r="D426" s="12" t="inlineStr">
        <is>
          <t>West</t>
        </is>
      </c>
      <c r="E426" s="12" t="inlineStr">
        <is>
          <t>Mobile</t>
        </is>
      </c>
      <c r="F426" s="12" t="inlineStr">
        <is>
          <t>Social</t>
        </is>
      </c>
      <c r="G426" s="12" t="inlineStr">
        <is>
          <t>Free</t>
        </is>
      </c>
      <c r="H426" s="12" t="n">
        <v>1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/>
      <c r="P426" s="12" t="n">
        <v>35.8</v>
      </c>
    </row>
    <row r="427">
      <c r="A427" s="12" t="inlineStr">
        <is>
          <t>USR-100426</t>
        </is>
      </c>
      <c r="B427" s="29" t="n">
        <v>45700</v>
      </c>
      <c r="C427" s="12" t="inlineStr">
        <is>
          <t>Control</t>
        </is>
      </c>
      <c r="D427" s="12" t="inlineStr">
        <is>
          <t>North</t>
        </is>
      </c>
      <c r="E427" s="12" t="inlineStr">
        <is>
          <t>Mobile</t>
        </is>
      </c>
      <c r="F427" s="12" t="inlineStr">
        <is>
          <t>Paid Search</t>
        </is>
      </c>
      <c r="G427" s="12" t="inlineStr">
        <is>
          <t>Basic</t>
        </is>
      </c>
      <c r="H427" s="12" t="n">
        <v>1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1</v>
      </c>
      <c r="N427" s="12" t="n">
        <v>0</v>
      </c>
      <c r="O427" s="12" t="n"/>
      <c r="P427" s="12" t="n">
        <v>28.2</v>
      </c>
    </row>
    <row r="428">
      <c r="A428" s="12" t="inlineStr">
        <is>
          <t>USR-100427</t>
        </is>
      </c>
      <c r="B428" s="29" t="n">
        <v>45700</v>
      </c>
      <c r="C428" s="12" t="inlineStr">
        <is>
          <t>Control</t>
        </is>
      </c>
      <c r="D428" s="12" t="inlineStr">
        <is>
          <t>East</t>
        </is>
      </c>
      <c r="E428" s="12" t="inlineStr">
        <is>
          <t>Mobile</t>
        </is>
      </c>
      <c r="F428" s="12" t="inlineStr">
        <is>
          <t>Organic</t>
        </is>
      </c>
      <c r="G428" s="12" t="inlineStr">
        <is>
          <t>Free</t>
        </is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2</v>
      </c>
      <c r="N428" s="12" t="n">
        <v>0</v>
      </c>
      <c r="O428" s="12" t="n"/>
      <c r="P428" s="12" t="n">
        <v>44.4</v>
      </c>
    </row>
    <row r="429">
      <c r="A429" s="12" t="inlineStr">
        <is>
          <t>USR-100428</t>
        </is>
      </c>
      <c r="B429" s="29" t="n">
        <v>45743</v>
      </c>
      <c r="C429" s="12" t="inlineStr">
        <is>
          <t>Control</t>
        </is>
      </c>
      <c r="D429" s="12" t="inlineStr">
        <is>
          <t>North</t>
        </is>
      </c>
      <c r="E429" s="12" t="inlineStr">
        <is>
          <t>Mobile</t>
        </is>
      </c>
      <c r="F429" s="12" t="inlineStr">
        <is>
          <t>Email</t>
        </is>
      </c>
      <c r="G429" s="12" t="inlineStr">
        <is>
          <t>Premium</t>
        </is>
      </c>
      <c r="H429" s="12" t="n">
        <v>1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/>
      <c r="P429" s="12" t="n">
        <v>49.9</v>
      </c>
    </row>
    <row r="430">
      <c r="A430" s="12" t="inlineStr">
        <is>
          <t>USR-100429</t>
        </is>
      </c>
      <c r="B430" s="29" t="n">
        <v>45759</v>
      </c>
      <c r="C430" s="12" t="inlineStr">
        <is>
          <t>Control</t>
        </is>
      </c>
      <c r="D430" s="12" t="inlineStr">
        <is>
          <t>South</t>
        </is>
      </c>
      <c r="E430" s="12" t="inlineStr">
        <is>
          <t>Desktop</t>
        </is>
      </c>
      <c r="F430" s="12" t="inlineStr">
        <is>
          <t>Organic</t>
        </is>
      </c>
      <c r="G430" s="12" t="inlineStr">
        <is>
          <t>Free</t>
        </is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/>
      <c r="P430" s="12" t="n">
        <v>40.4</v>
      </c>
    </row>
    <row r="431">
      <c r="A431" s="12" t="inlineStr">
        <is>
          <t>USR-100430</t>
        </is>
      </c>
      <c r="B431" s="29" t="n">
        <v>45687</v>
      </c>
      <c r="C431" s="12" t="inlineStr">
        <is>
          <t>Control</t>
        </is>
      </c>
      <c r="D431" s="12" t="inlineStr">
        <is>
          <t>West</t>
        </is>
      </c>
      <c r="E431" s="12" t="inlineStr">
        <is>
          <t>Mobile</t>
        </is>
      </c>
      <c r="F431" s="12" t="inlineStr">
        <is>
          <t>Social</t>
        </is>
      </c>
      <c r="G431" s="12" t="inlineStr">
        <is>
          <t>Free</t>
        </is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/>
      <c r="P431" s="12" t="n">
        <v>60.4</v>
      </c>
    </row>
    <row r="432">
      <c r="A432" s="12" t="inlineStr">
        <is>
          <t>USR-100431</t>
        </is>
      </c>
      <c r="B432" s="29" t="n">
        <v>45805</v>
      </c>
      <c r="C432" s="12" t="inlineStr">
        <is>
          <t>Control</t>
        </is>
      </c>
      <c r="D432" s="12" t="inlineStr">
        <is>
          <t>West</t>
        </is>
      </c>
      <c r="E432" s="12" t="inlineStr">
        <is>
          <t>Mobile</t>
        </is>
      </c>
      <c r="F432" s="12" t="inlineStr">
        <is>
          <t>Social</t>
        </is>
      </c>
      <c r="G432" s="12" t="inlineStr">
        <is>
          <t>Premium</t>
        </is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1</v>
      </c>
      <c r="N432" s="12" t="n">
        <v>0</v>
      </c>
      <c r="O432" s="12" t="n"/>
      <c r="P432" s="12" t="n">
        <v>52.4</v>
      </c>
    </row>
    <row r="433">
      <c r="A433" s="12" t="inlineStr">
        <is>
          <t>USR-100432</t>
        </is>
      </c>
      <c r="B433" s="29" t="n">
        <v>45778</v>
      </c>
      <c r="C433" s="12" t="inlineStr">
        <is>
          <t>Control</t>
        </is>
      </c>
      <c r="D433" s="12" t="inlineStr">
        <is>
          <t>South</t>
        </is>
      </c>
      <c r="E433" s="12" t="inlineStr">
        <is>
          <t>Mobile</t>
        </is>
      </c>
      <c r="F433" s="12" t="inlineStr">
        <is>
          <t>Organic</t>
        </is>
      </c>
      <c r="G433" s="12" t="inlineStr">
        <is>
          <t>Basic</t>
        </is>
      </c>
      <c r="H433" s="12" t="n">
        <v>1</v>
      </c>
      <c r="I433" s="12" t="n">
        <v>1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/>
      <c r="P433" s="12" t="n">
        <v>48.8</v>
      </c>
    </row>
    <row r="434">
      <c r="A434" s="12" t="inlineStr">
        <is>
          <t>USR-100433</t>
        </is>
      </c>
      <c r="B434" s="29" t="n">
        <v>45691</v>
      </c>
      <c r="C434" s="12" t="inlineStr">
        <is>
          <t>Control</t>
        </is>
      </c>
      <c r="D434" s="12" t="inlineStr">
        <is>
          <t>North</t>
        </is>
      </c>
      <c r="E434" s="12" t="inlineStr">
        <is>
          <t>Tablet</t>
        </is>
      </c>
      <c r="F434" s="12" t="inlineStr">
        <is>
          <t>Email</t>
        </is>
      </c>
      <c r="G434" s="12" t="inlineStr">
        <is>
          <t>Basic</t>
        </is>
      </c>
      <c r="H434" s="12" t="n">
        <v>1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/>
      <c r="P434" s="12" t="n">
        <v>60.9</v>
      </c>
    </row>
    <row r="435">
      <c r="A435" s="12" t="inlineStr">
        <is>
          <t>USR-100434</t>
        </is>
      </c>
      <c r="B435" s="29" t="n">
        <v>45667</v>
      </c>
      <c r="C435" s="12" t="inlineStr">
        <is>
          <t>Control</t>
        </is>
      </c>
      <c r="D435" s="12" t="inlineStr">
        <is>
          <t>South</t>
        </is>
      </c>
      <c r="E435" s="12" t="inlineStr">
        <is>
          <t>Desktop</t>
        </is>
      </c>
      <c r="F435" s="12" t="inlineStr">
        <is>
          <t>Social</t>
        </is>
      </c>
      <c r="G435" s="12" t="inlineStr">
        <is>
          <t>Basic</t>
        </is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/>
      <c r="P435" s="12" t="n">
        <v>68.2</v>
      </c>
    </row>
    <row r="436">
      <c r="A436" s="12" t="inlineStr">
        <is>
          <t>USR-100435</t>
        </is>
      </c>
      <c r="B436" s="29" t="n">
        <v>45779</v>
      </c>
      <c r="C436" s="12" t="inlineStr">
        <is>
          <t>Control</t>
        </is>
      </c>
      <c r="D436" s="12" t="inlineStr">
        <is>
          <t>North</t>
        </is>
      </c>
      <c r="E436" s="12" t="inlineStr">
        <is>
          <t>Desktop</t>
        </is>
      </c>
      <c r="F436" s="12" t="inlineStr">
        <is>
          <t>Organic</t>
        </is>
      </c>
      <c r="G436" s="12" t="inlineStr">
        <is>
          <t>Basic</t>
        </is>
      </c>
      <c r="H436" s="12" t="n">
        <v>1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/>
      <c r="P436" s="12" t="n">
        <v>65.59999999999999</v>
      </c>
    </row>
    <row r="437">
      <c r="A437" s="12" t="inlineStr">
        <is>
          <t>USR-100436</t>
        </is>
      </c>
      <c r="B437" s="29" t="n">
        <v>45803</v>
      </c>
      <c r="C437" s="12" t="inlineStr">
        <is>
          <t>Control</t>
        </is>
      </c>
      <c r="D437" s="12" t="inlineStr">
        <is>
          <t>North</t>
        </is>
      </c>
      <c r="E437" s="12" t="inlineStr">
        <is>
          <t>Desktop</t>
        </is>
      </c>
      <c r="F437" s="12" t="inlineStr">
        <is>
          <t>Organic</t>
        </is>
      </c>
      <c r="G437" s="12" t="inlineStr">
        <is>
          <t>Basic</t>
        </is>
      </c>
      <c r="H437" s="12" t="n">
        <v>1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/>
      <c r="P437" s="12" t="n">
        <v>65.40000000000001</v>
      </c>
    </row>
    <row r="438">
      <c r="A438" s="12" t="inlineStr">
        <is>
          <t>USR-100437</t>
        </is>
      </c>
      <c r="B438" s="29" t="n">
        <v>45669</v>
      </c>
      <c r="C438" s="12" t="inlineStr">
        <is>
          <t>Control</t>
        </is>
      </c>
      <c r="D438" s="12" t="inlineStr">
        <is>
          <t>West</t>
        </is>
      </c>
      <c r="E438" s="12" t="inlineStr">
        <is>
          <t>Mobile</t>
        </is>
      </c>
      <c r="F438" s="12" t="inlineStr">
        <is>
          <t>Organic</t>
        </is>
      </c>
      <c r="G438" s="12" t="inlineStr">
        <is>
          <t>Basic</t>
        </is>
      </c>
      <c r="H438" s="12" t="n">
        <v>1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/>
      <c r="P438" s="12" t="n">
        <v>78.90000000000001</v>
      </c>
    </row>
    <row r="439">
      <c r="A439" s="12" t="inlineStr">
        <is>
          <t>USR-100438</t>
        </is>
      </c>
      <c r="B439" s="29" t="n">
        <v>45804</v>
      </c>
      <c r="C439" s="12" t="inlineStr">
        <is>
          <t>Control</t>
        </is>
      </c>
      <c r="D439" s="12" t="inlineStr">
        <is>
          <t>East</t>
        </is>
      </c>
      <c r="E439" s="12" t="inlineStr">
        <is>
          <t>Mobile</t>
        </is>
      </c>
      <c r="F439" s="12" t="inlineStr">
        <is>
          <t>Paid Search</t>
        </is>
      </c>
      <c r="G439" s="12" t="inlineStr">
        <is>
          <t>Basic</t>
        </is>
      </c>
      <c r="H439" s="12" t="n">
        <v>1</v>
      </c>
      <c r="I439" s="12" t="n">
        <v>1</v>
      </c>
      <c r="J439" s="12" t="n">
        <v>1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/>
      <c r="P439" s="12" t="n">
        <v>78.3</v>
      </c>
    </row>
    <row r="440">
      <c r="A440" s="12" t="inlineStr">
        <is>
          <t>USR-100439</t>
        </is>
      </c>
      <c r="B440" s="29" t="n">
        <v>45799</v>
      </c>
      <c r="C440" s="12" t="inlineStr">
        <is>
          <t>Control</t>
        </is>
      </c>
      <c r="D440" s="12" t="inlineStr">
        <is>
          <t>West</t>
        </is>
      </c>
      <c r="E440" s="12" t="inlineStr">
        <is>
          <t>Desktop</t>
        </is>
      </c>
      <c r="F440" s="12" t="inlineStr">
        <is>
          <t>Email</t>
        </is>
      </c>
      <c r="G440" s="12" t="inlineStr">
        <is>
          <t>Basic</t>
        </is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/>
      <c r="P440" s="12" t="n">
        <v>49.2</v>
      </c>
    </row>
    <row r="441">
      <c r="A441" s="12" t="inlineStr">
        <is>
          <t>USR-100440</t>
        </is>
      </c>
      <c r="B441" s="29" t="n">
        <v>45748</v>
      </c>
      <c r="C441" s="12" t="inlineStr">
        <is>
          <t>Control</t>
        </is>
      </c>
      <c r="D441" s="12" t="inlineStr">
        <is>
          <t>East</t>
        </is>
      </c>
      <c r="E441" s="12" t="inlineStr">
        <is>
          <t>Mobile</t>
        </is>
      </c>
      <c r="F441" s="12" t="inlineStr">
        <is>
          <t>Social</t>
        </is>
      </c>
      <c r="G441" s="12" t="inlineStr">
        <is>
          <t>Premium</t>
        </is>
      </c>
      <c r="H441" s="12" t="n">
        <v>1</v>
      </c>
      <c r="I441" s="12" t="n">
        <v>1</v>
      </c>
      <c r="J441" s="12" t="n">
        <v>1</v>
      </c>
      <c r="K441" s="12" t="n">
        <v>1</v>
      </c>
      <c r="L441" s="12" t="n">
        <v>1518.83</v>
      </c>
      <c r="M441" s="12" t="n">
        <v>0</v>
      </c>
      <c r="N441" s="12" t="n">
        <v>0</v>
      </c>
      <c r="O441" s="12" t="n">
        <v>9</v>
      </c>
      <c r="P441" s="12" t="n">
        <v>32.2</v>
      </c>
    </row>
    <row r="442">
      <c r="A442" s="12" t="inlineStr">
        <is>
          <t>USR-100441</t>
        </is>
      </c>
      <c r="B442" s="29" t="n">
        <v>45679</v>
      </c>
      <c r="C442" s="12" t="inlineStr">
        <is>
          <t>Control</t>
        </is>
      </c>
      <c r="D442" s="12" t="inlineStr">
        <is>
          <t>North</t>
        </is>
      </c>
      <c r="E442" s="12" t="inlineStr">
        <is>
          <t>Mobile</t>
        </is>
      </c>
      <c r="F442" s="12" t="inlineStr">
        <is>
          <t>Paid Search</t>
        </is>
      </c>
      <c r="G442" s="12" t="inlineStr">
        <is>
          <t>Basic</t>
        </is>
      </c>
      <c r="H442" s="12" t="n">
        <v>1</v>
      </c>
      <c r="I442" s="12" t="n">
        <v>1</v>
      </c>
      <c r="J442" s="12" t="n">
        <v>1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/>
      <c r="P442" s="12" t="n">
        <v>46.3</v>
      </c>
    </row>
    <row r="443">
      <c r="A443" s="12" t="inlineStr">
        <is>
          <t>USR-100442</t>
        </is>
      </c>
      <c r="B443" s="29" t="n">
        <v>45801</v>
      </c>
      <c r="C443" s="12" t="inlineStr">
        <is>
          <t>Control</t>
        </is>
      </c>
      <c r="D443" s="12" t="inlineStr">
        <is>
          <t>East</t>
        </is>
      </c>
      <c r="E443" s="12" t="inlineStr">
        <is>
          <t>Mobile</t>
        </is>
      </c>
      <c r="F443" s="12" t="inlineStr">
        <is>
          <t>Paid Search</t>
        </is>
      </c>
      <c r="G443" s="12" t="inlineStr">
        <is>
          <t>Basic</t>
        </is>
      </c>
      <c r="H443" s="12" t="n">
        <v>1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/>
      <c r="P443" s="12" t="n">
        <v>55.7</v>
      </c>
    </row>
    <row r="444">
      <c r="A444" s="12" t="inlineStr">
        <is>
          <t>USR-100443</t>
        </is>
      </c>
      <c r="B444" s="29" t="n">
        <v>45772</v>
      </c>
      <c r="C444" s="12" t="inlineStr">
        <is>
          <t>Control</t>
        </is>
      </c>
      <c r="D444" s="12" t="inlineStr">
        <is>
          <t>South</t>
        </is>
      </c>
      <c r="E444" s="12" t="inlineStr">
        <is>
          <t>Mobile</t>
        </is>
      </c>
      <c r="F444" s="12" t="inlineStr">
        <is>
          <t>Social</t>
        </is>
      </c>
      <c r="G444" s="12" t="inlineStr">
        <is>
          <t>Free</t>
        </is>
      </c>
      <c r="H444" s="12" t="n">
        <v>1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/>
      <c r="P444" s="12" t="n">
        <v>44.5</v>
      </c>
    </row>
    <row r="445">
      <c r="A445" s="12" t="inlineStr">
        <is>
          <t>USR-100444</t>
        </is>
      </c>
      <c r="B445" s="29" t="n">
        <v>45759</v>
      </c>
      <c r="C445" s="12" t="inlineStr">
        <is>
          <t>Control</t>
        </is>
      </c>
      <c r="D445" s="12" t="inlineStr">
        <is>
          <t>West</t>
        </is>
      </c>
      <c r="E445" s="12" t="inlineStr">
        <is>
          <t>Desktop</t>
        </is>
      </c>
      <c r="F445" s="12" t="inlineStr">
        <is>
          <t>Referral</t>
        </is>
      </c>
      <c r="G445" s="12" t="inlineStr">
        <is>
          <t>Free</t>
        </is>
      </c>
      <c r="H445" s="12" t="n">
        <v>1</v>
      </c>
      <c r="I445" s="12" t="n">
        <v>1</v>
      </c>
      <c r="J445" s="12" t="n">
        <v>1</v>
      </c>
      <c r="K445" s="12" t="n">
        <v>0</v>
      </c>
      <c r="L445" s="12" t="n">
        <v>0</v>
      </c>
      <c r="M445" s="12" t="n">
        <v>1</v>
      </c>
      <c r="N445" s="12" t="n">
        <v>0</v>
      </c>
      <c r="O445" s="12" t="n"/>
      <c r="P445" s="12" t="n">
        <v>47.9</v>
      </c>
    </row>
    <row r="446">
      <c r="A446" s="12" t="inlineStr">
        <is>
          <t>USR-100445</t>
        </is>
      </c>
      <c r="B446" s="29" t="n">
        <v>45770</v>
      </c>
      <c r="C446" s="12" t="inlineStr">
        <is>
          <t>Control</t>
        </is>
      </c>
      <c r="D446" s="12" t="inlineStr">
        <is>
          <t>South</t>
        </is>
      </c>
      <c r="E446" s="12" t="inlineStr">
        <is>
          <t>Mobile</t>
        </is>
      </c>
      <c r="F446" s="12" t="inlineStr">
        <is>
          <t>Organic</t>
        </is>
      </c>
      <c r="G446" s="12" t="inlineStr">
        <is>
          <t>Premium</t>
        </is>
      </c>
      <c r="H446" s="12" t="n">
        <v>1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/>
      <c r="P446" s="12" t="n">
        <v>43.9</v>
      </c>
    </row>
    <row r="447">
      <c r="A447" s="12" t="inlineStr">
        <is>
          <t>USR-100446</t>
        </is>
      </c>
      <c r="B447" s="29" t="n">
        <v>45746</v>
      </c>
      <c r="C447" s="12" t="inlineStr">
        <is>
          <t>Control</t>
        </is>
      </c>
      <c r="D447" s="12" t="inlineStr">
        <is>
          <t>North</t>
        </is>
      </c>
      <c r="E447" s="12" t="inlineStr">
        <is>
          <t>Desktop</t>
        </is>
      </c>
      <c r="F447" s="12" t="inlineStr">
        <is>
          <t>Referral</t>
        </is>
      </c>
      <c r="G447" s="12" t="inlineStr">
        <is>
          <t>Free</t>
        </is>
      </c>
      <c r="H447" s="12" t="n">
        <v>1</v>
      </c>
      <c r="I447" s="12" t="n">
        <v>1</v>
      </c>
      <c r="J447" s="12" t="n">
        <v>1</v>
      </c>
      <c r="K447" s="12" t="n">
        <v>0</v>
      </c>
      <c r="L447" s="12" t="n">
        <v>0</v>
      </c>
      <c r="M447" s="12" t="n">
        <v>1</v>
      </c>
      <c r="N447" s="12" t="n">
        <v>0</v>
      </c>
      <c r="O447" s="12" t="n"/>
      <c r="P447" s="12" t="n">
        <v>67.7</v>
      </c>
    </row>
    <row r="448">
      <c r="A448" s="12" t="inlineStr">
        <is>
          <t>USR-100447</t>
        </is>
      </c>
      <c r="B448" s="29" t="n">
        <v>45675</v>
      </c>
      <c r="C448" s="12" t="inlineStr">
        <is>
          <t>Control</t>
        </is>
      </c>
      <c r="D448" s="12" t="inlineStr">
        <is>
          <t>East</t>
        </is>
      </c>
      <c r="E448" s="12" t="inlineStr">
        <is>
          <t>Mobile</t>
        </is>
      </c>
      <c r="F448" s="12" t="inlineStr">
        <is>
          <t>Referral</t>
        </is>
      </c>
      <c r="G448" s="12" t="inlineStr">
        <is>
          <t>Basic</t>
        </is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/>
      <c r="P448" s="12" t="n">
        <v>43.7</v>
      </c>
    </row>
    <row r="449">
      <c r="A449" s="12" t="inlineStr">
        <is>
          <t>USR-100448</t>
        </is>
      </c>
      <c r="B449" s="29" t="n">
        <v>45756</v>
      </c>
      <c r="C449" s="12" t="inlineStr">
        <is>
          <t>Control</t>
        </is>
      </c>
      <c r="D449" s="12" t="inlineStr">
        <is>
          <t>East</t>
        </is>
      </c>
      <c r="E449" s="12" t="inlineStr">
        <is>
          <t>Mobile</t>
        </is>
      </c>
      <c r="F449" s="12" t="inlineStr">
        <is>
          <t>Organic</t>
        </is>
      </c>
      <c r="G449" s="12" t="inlineStr">
        <is>
          <t>Free</t>
        </is>
      </c>
      <c r="H449" s="12" t="n">
        <v>1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/>
      <c r="P449" s="12" t="n">
        <v>68.8</v>
      </c>
    </row>
    <row r="450">
      <c r="A450" s="12" t="inlineStr">
        <is>
          <t>USR-100449</t>
        </is>
      </c>
      <c r="B450" s="29" t="n">
        <v>45668</v>
      </c>
      <c r="C450" s="12" t="inlineStr">
        <is>
          <t>Control</t>
        </is>
      </c>
      <c r="D450" s="12" t="inlineStr">
        <is>
          <t>West</t>
        </is>
      </c>
      <c r="E450" s="12" t="inlineStr">
        <is>
          <t>Mobile</t>
        </is>
      </c>
      <c r="F450" s="12" t="inlineStr">
        <is>
          <t>Organic</t>
        </is>
      </c>
      <c r="G450" s="12" t="inlineStr">
        <is>
          <t>Free</t>
        </is>
      </c>
      <c r="H450" s="12" t="n">
        <v>1</v>
      </c>
      <c r="I450" s="12" t="n">
        <v>1</v>
      </c>
      <c r="J450" s="12" t="n">
        <v>1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/>
      <c r="P450" s="12" t="n">
        <v>59.2</v>
      </c>
    </row>
    <row r="451">
      <c r="A451" s="12" t="inlineStr">
        <is>
          <t>USR-100450</t>
        </is>
      </c>
      <c r="B451" s="29" t="n">
        <v>45721</v>
      </c>
      <c r="C451" s="12" t="inlineStr">
        <is>
          <t>Control</t>
        </is>
      </c>
      <c r="D451" s="12" t="inlineStr">
        <is>
          <t>East</t>
        </is>
      </c>
      <c r="E451" s="12" t="inlineStr">
        <is>
          <t>Mobile</t>
        </is>
      </c>
      <c r="F451" s="12" t="inlineStr">
        <is>
          <t>Paid Search</t>
        </is>
      </c>
      <c r="G451" s="12" t="inlineStr">
        <is>
          <t>Free</t>
        </is>
      </c>
      <c r="H451" s="12" t="n">
        <v>1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/>
      <c r="P451" s="12" t="n">
        <v>48.6</v>
      </c>
    </row>
    <row r="452">
      <c r="A452" s="12" t="inlineStr">
        <is>
          <t>USR-100451</t>
        </is>
      </c>
      <c r="B452" s="29" t="n">
        <v>45705</v>
      </c>
      <c r="C452" s="12" t="inlineStr">
        <is>
          <t>Control</t>
        </is>
      </c>
      <c r="D452" s="12" t="inlineStr">
        <is>
          <t>North</t>
        </is>
      </c>
      <c r="E452" s="12" t="inlineStr">
        <is>
          <t>Tablet</t>
        </is>
      </c>
      <c r="F452" s="12" t="inlineStr">
        <is>
          <t>Social</t>
        </is>
      </c>
      <c r="G452" s="12" t="inlineStr">
        <is>
          <t>Free</t>
        </is>
      </c>
      <c r="H452" s="12" t="n">
        <v>1</v>
      </c>
      <c r="I452" s="12" t="n">
        <v>1</v>
      </c>
      <c r="J452" s="12" t="n">
        <v>1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/>
      <c r="P452" s="12" t="n">
        <v>56.9</v>
      </c>
    </row>
    <row r="453">
      <c r="A453" s="12" t="inlineStr">
        <is>
          <t>USR-100452</t>
        </is>
      </c>
      <c r="B453" s="29" t="n">
        <v>45784</v>
      </c>
      <c r="C453" s="12" t="inlineStr">
        <is>
          <t>Control</t>
        </is>
      </c>
      <c r="D453" s="12" t="inlineStr">
        <is>
          <t>North</t>
        </is>
      </c>
      <c r="E453" s="12" t="inlineStr">
        <is>
          <t>Desktop</t>
        </is>
      </c>
      <c r="F453" s="12" t="inlineStr">
        <is>
          <t>Paid Search</t>
        </is>
      </c>
      <c r="G453" s="12" t="inlineStr">
        <is>
          <t>Free</t>
        </is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/>
      <c r="P453" s="12" t="n">
        <v>55.8</v>
      </c>
    </row>
    <row r="454">
      <c r="A454" s="12" t="inlineStr">
        <is>
          <t>USR-100453</t>
        </is>
      </c>
      <c r="B454" s="29" t="n">
        <v>45757</v>
      </c>
      <c r="C454" s="12" t="inlineStr">
        <is>
          <t>Control</t>
        </is>
      </c>
      <c r="D454" s="12" t="inlineStr">
        <is>
          <t>East</t>
        </is>
      </c>
      <c r="E454" s="12" t="inlineStr">
        <is>
          <t>Mobile</t>
        </is>
      </c>
      <c r="F454" s="12" t="inlineStr">
        <is>
          <t>Paid Search</t>
        </is>
      </c>
      <c r="G454" s="12" t="inlineStr">
        <is>
          <t>Premium</t>
        </is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/>
      <c r="P454" s="12" t="n">
        <v>63.3</v>
      </c>
    </row>
    <row r="455">
      <c r="A455" s="12" t="inlineStr">
        <is>
          <t>USR-100454</t>
        </is>
      </c>
      <c r="B455" s="29" t="n">
        <v>45768</v>
      </c>
      <c r="C455" s="12" t="inlineStr">
        <is>
          <t>Control</t>
        </is>
      </c>
      <c r="D455" s="12" t="inlineStr">
        <is>
          <t>North</t>
        </is>
      </c>
      <c r="E455" s="12" t="inlineStr">
        <is>
          <t>Mobile</t>
        </is>
      </c>
      <c r="F455" s="12" t="inlineStr">
        <is>
          <t>Social</t>
        </is>
      </c>
      <c r="G455" s="12" t="inlineStr">
        <is>
          <t>Free</t>
        </is>
      </c>
      <c r="H455" s="12" t="n">
        <v>1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/>
      <c r="P455" s="12" t="n">
        <v>52.2</v>
      </c>
    </row>
    <row r="456">
      <c r="A456" s="12" t="inlineStr">
        <is>
          <t>USR-100455</t>
        </is>
      </c>
      <c r="B456" s="29" t="n">
        <v>45713</v>
      </c>
      <c r="C456" s="12" t="inlineStr">
        <is>
          <t>Control</t>
        </is>
      </c>
      <c r="D456" s="12" t="inlineStr">
        <is>
          <t>South</t>
        </is>
      </c>
      <c r="E456" s="12" t="inlineStr">
        <is>
          <t>Tablet</t>
        </is>
      </c>
      <c r="F456" s="12" t="n"/>
      <c r="G456" s="12" t="inlineStr">
        <is>
          <t>Free</t>
        </is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/>
      <c r="P456" s="12" t="n">
        <v>51.5</v>
      </c>
    </row>
    <row r="457">
      <c r="A457" s="12" t="inlineStr">
        <is>
          <t>USR-100456</t>
        </is>
      </c>
      <c r="B457" s="29" t="n">
        <v>45791</v>
      </c>
      <c r="C457" s="12" t="inlineStr">
        <is>
          <t>Control</t>
        </is>
      </c>
      <c r="D457" s="12" t="inlineStr">
        <is>
          <t>East</t>
        </is>
      </c>
      <c r="E457" s="12" t="inlineStr">
        <is>
          <t>Desktop</t>
        </is>
      </c>
      <c r="F457" s="12" t="inlineStr">
        <is>
          <t>Organic</t>
        </is>
      </c>
      <c r="G457" s="12" t="inlineStr">
        <is>
          <t>Free</t>
        </is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/>
      <c r="P457" s="12" t="n">
        <v>50.3</v>
      </c>
    </row>
    <row r="458">
      <c r="A458" s="12" t="inlineStr">
        <is>
          <t>USR-100457</t>
        </is>
      </c>
      <c r="B458" s="29" t="n">
        <v>45726</v>
      </c>
      <c r="C458" s="12" t="inlineStr">
        <is>
          <t>Control</t>
        </is>
      </c>
      <c r="D458" s="12" t="inlineStr">
        <is>
          <t>North</t>
        </is>
      </c>
      <c r="E458" s="12" t="inlineStr">
        <is>
          <t>Mobile</t>
        </is>
      </c>
      <c r="F458" s="12" t="inlineStr">
        <is>
          <t>Email</t>
        </is>
      </c>
      <c r="G458" s="12" t="inlineStr">
        <is>
          <t>Basic</t>
        </is>
      </c>
      <c r="H458" s="12" t="n">
        <v>1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1</v>
      </c>
      <c r="N458" s="12" t="n">
        <v>0</v>
      </c>
      <c r="O458" s="12" t="n"/>
      <c r="P458" s="12" t="n">
        <v>35.4</v>
      </c>
    </row>
    <row r="459">
      <c r="A459" s="12" t="inlineStr">
        <is>
          <t>USR-100458</t>
        </is>
      </c>
      <c r="B459" s="29" t="n">
        <v>45688</v>
      </c>
      <c r="C459" s="12" t="inlineStr">
        <is>
          <t>Control</t>
        </is>
      </c>
      <c r="D459" s="12" t="inlineStr">
        <is>
          <t>West</t>
        </is>
      </c>
      <c r="E459" s="12" t="inlineStr">
        <is>
          <t>Desktop</t>
        </is>
      </c>
      <c r="F459" s="12" t="inlineStr">
        <is>
          <t>Organic</t>
        </is>
      </c>
      <c r="G459" s="12" t="inlineStr">
        <is>
          <t>Premium</t>
        </is>
      </c>
      <c r="H459" s="12" t="n">
        <v>1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1</v>
      </c>
      <c r="N459" s="12" t="n">
        <v>0</v>
      </c>
      <c r="O459" s="12" t="n"/>
      <c r="P459" s="12" t="n">
        <v>54.1</v>
      </c>
    </row>
    <row r="460">
      <c r="A460" s="12" t="inlineStr">
        <is>
          <t>USR-100459</t>
        </is>
      </c>
      <c r="B460" s="29" t="n">
        <v>45674</v>
      </c>
      <c r="C460" s="12" t="inlineStr">
        <is>
          <t>Control</t>
        </is>
      </c>
      <c r="D460" s="12" t="inlineStr">
        <is>
          <t>South</t>
        </is>
      </c>
      <c r="E460" s="12" t="inlineStr">
        <is>
          <t>Mobile</t>
        </is>
      </c>
      <c r="F460" s="12" t="inlineStr">
        <is>
          <t>Organic</t>
        </is>
      </c>
      <c r="G460" s="12" t="inlineStr">
        <is>
          <t>Premium</t>
        </is>
      </c>
      <c r="H460" s="12" t="n">
        <v>1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/>
      <c r="P460" s="12" t="n">
        <v>56.2</v>
      </c>
    </row>
    <row r="461">
      <c r="A461" s="12" t="inlineStr">
        <is>
          <t>USR-100460</t>
        </is>
      </c>
      <c r="B461" s="29" t="n">
        <v>45728</v>
      </c>
      <c r="C461" s="12" t="inlineStr">
        <is>
          <t>Control</t>
        </is>
      </c>
      <c r="D461" s="12" t="inlineStr">
        <is>
          <t>South</t>
        </is>
      </c>
      <c r="E461" s="12" t="inlineStr">
        <is>
          <t>Mobile</t>
        </is>
      </c>
      <c r="F461" s="12" t="inlineStr">
        <is>
          <t>Paid Search</t>
        </is>
      </c>
      <c r="G461" s="12" t="inlineStr">
        <is>
          <t>Free</t>
        </is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3</v>
      </c>
      <c r="N461" s="12" t="n">
        <v>0</v>
      </c>
      <c r="O461" s="12" t="n"/>
      <c r="P461" s="12" t="n">
        <v>43.7</v>
      </c>
    </row>
    <row r="462">
      <c r="A462" s="12" t="inlineStr">
        <is>
          <t>USR-100461</t>
        </is>
      </c>
      <c r="B462" s="29" t="n">
        <v>45716</v>
      </c>
      <c r="C462" s="12" t="inlineStr">
        <is>
          <t>Control</t>
        </is>
      </c>
      <c r="D462" s="12" t="inlineStr">
        <is>
          <t>West</t>
        </is>
      </c>
      <c r="E462" s="12" t="inlineStr">
        <is>
          <t>Desktop</t>
        </is>
      </c>
      <c r="F462" s="12" t="inlineStr">
        <is>
          <t>Organic</t>
        </is>
      </c>
      <c r="G462" s="12" t="inlineStr">
        <is>
          <t>Premium</t>
        </is>
      </c>
      <c r="H462" s="12" t="n">
        <v>1</v>
      </c>
      <c r="I462" s="12" t="n">
        <v>1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/>
      <c r="P462" s="12" t="n">
        <v>51.3</v>
      </c>
    </row>
    <row r="463">
      <c r="A463" s="12" t="inlineStr">
        <is>
          <t>USR-100462</t>
        </is>
      </c>
      <c r="B463" s="29" t="n">
        <v>45796</v>
      </c>
      <c r="C463" s="12" t="inlineStr">
        <is>
          <t>Control</t>
        </is>
      </c>
      <c r="D463" s="12" t="inlineStr">
        <is>
          <t>North</t>
        </is>
      </c>
      <c r="E463" s="12" t="n"/>
      <c r="F463" s="12" t="inlineStr">
        <is>
          <t>Organic</t>
        </is>
      </c>
      <c r="G463" s="12" t="inlineStr">
        <is>
          <t>Basic</t>
        </is>
      </c>
      <c r="H463" s="12" t="n">
        <v>1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/>
      <c r="P463" s="12" t="n">
        <v>50.5</v>
      </c>
    </row>
    <row r="464">
      <c r="A464" s="12" t="inlineStr">
        <is>
          <t>USR-100463</t>
        </is>
      </c>
      <c r="B464" s="29" t="n">
        <v>45711</v>
      </c>
      <c r="C464" s="12" t="inlineStr">
        <is>
          <t>Control</t>
        </is>
      </c>
      <c r="D464" s="12" t="inlineStr">
        <is>
          <t>North</t>
        </is>
      </c>
      <c r="E464" s="12" t="inlineStr">
        <is>
          <t>Mobile</t>
        </is>
      </c>
      <c r="F464" s="12" t="inlineStr">
        <is>
          <t>Referral</t>
        </is>
      </c>
      <c r="G464" s="12" t="inlineStr">
        <is>
          <t>Basic</t>
        </is>
      </c>
      <c r="H464" s="12" t="n">
        <v>1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/>
      <c r="P464" s="12" t="n">
        <v>57.3</v>
      </c>
    </row>
    <row r="465">
      <c r="A465" s="12" t="inlineStr">
        <is>
          <t>USR-100464</t>
        </is>
      </c>
      <c r="B465" s="29" t="n">
        <v>45708</v>
      </c>
      <c r="C465" s="12" t="inlineStr">
        <is>
          <t>Control</t>
        </is>
      </c>
      <c r="D465" s="12" t="inlineStr">
        <is>
          <t>West</t>
        </is>
      </c>
      <c r="E465" s="12" t="inlineStr">
        <is>
          <t>Desktop</t>
        </is>
      </c>
      <c r="F465" s="12" t="inlineStr">
        <is>
          <t>Organic</t>
        </is>
      </c>
      <c r="G465" s="12" t="inlineStr">
        <is>
          <t>Free</t>
        </is>
      </c>
      <c r="H465" s="12" t="n">
        <v>1</v>
      </c>
      <c r="I465" s="12" t="n">
        <v>1</v>
      </c>
      <c r="J465" s="12" t="n">
        <v>1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/>
      <c r="P465" s="12" t="n">
        <v>58.4</v>
      </c>
    </row>
    <row r="466">
      <c r="A466" s="12" t="inlineStr">
        <is>
          <t>USR-100465</t>
        </is>
      </c>
      <c r="B466" s="29" t="n">
        <v>45759</v>
      </c>
      <c r="C466" s="12" t="inlineStr">
        <is>
          <t>Control</t>
        </is>
      </c>
      <c r="D466" s="12" t="inlineStr">
        <is>
          <t>North</t>
        </is>
      </c>
      <c r="E466" s="12" t="inlineStr">
        <is>
          <t>Mobile</t>
        </is>
      </c>
      <c r="F466" s="12" t="n"/>
      <c r="G466" s="12" t="inlineStr">
        <is>
          <t>Free</t>
        </is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/>
      <c r="P466" s="12" t="n">
        <v>56.5</v>
      </c>
    </row>
    <row r="467">
      <c r="A467" s="12" t="inlineStr">
        <is>
          <t>USR-100466</t>
        </is>
      </c>
      <c r="B467" s="29" t="n">
        <v>45665</v>
      </c>
      <c r="C467" s="12" t="inlineStr">
        <is>
          <t>Control</t>
        </is>
      </c>
      <c r="D467" s="12" t="inlineStr">
        <is>
          <t>West</t>
        </is>
      </c>
      <c r="E467" s="12" t="inlineStr">
        <is>
          <t>Mobile</t>
        </is>
      </c>
      <c r="F467" s="12" t="inlineStr">
        <is>
          <t>Email</t>
        </is>
      </c>
      <c r="G467" s="12" t="inlineStr">
        <is>
          <t>Free</t>
        </is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/>
      <c r="P467" s="12" t="n">
        <v>69.59999999999999</v>
      </c>
    </row>
    <row r="468">
      <c r="A468" s="12" t="inlineStr">
        <is>
          <t>USR-100467</t>
        </is>
      </c>
      <c r="B468" s="29" t="n">
        <v>45701</v>
      </c>
      <c r="C468" s="12" t="inlineStr">
        <is>
          <t>Control</t>
        </is>
      </c>
      <c r="D468" s="12" t="inlineStr">
        <is>
          <t>West</t>
        </is>
      </c>
      <c r="E468" s="12" t="inlineStr">
        <is>
          <t>Mobile</t>
        </is>
      </c>
      <c r="F468" s="12" t="inlineStr">
        <is>
          <t>Organic</t>
        </is>
      </c>
      <c r="G468" s="12" t="inlineStr">
        <is>
          <t>Basic</t>
        </is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/>
      <c r="P468" s="12" t="n">
        <v>6.2</v>
      </c>
    </row>
    <row r="469">
      <c r="A469" s="12" t="inlineStr">
        <is>
          <t>USR-100468</t>
        </is>
      </c>
      <c r="B469" s="29" t="n">
        <v>45798</v>
      </c>
      <c r="C469" s="12" t="inlineStr">
        <is>
          <t>Control</t>
        </is>
      </c>
      <c r="D469" s="12" t="inlineStr">
        <is>
          <t>East</t>
        </is>
      </c>
      <c r="E469" s="12" t="inlineStr">
        <is>
          <t>Desktop</t>
        </is>
      </c>
      <c r="F469" s="12" t="inlineStr">
        <is>
          <t>Email</t>
        </is>
      </c>
      <c r="G469" s="12" t="inlineStr">
        <is>
          <t>Free</t>
        </is>
      </c>
      <c r="H469" s="12" t="n">
        <v>1</v>
      </c>
      <c r="I469" s="12" t="n">
        <v>1</v>
      </c>
      <c r="J469" s="12" t="n">
        <v>1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/>
      <c r="P469" s="12" t="n">
        <v>54.3</v>
      </c>
    </row>
    <row r="470">
      <c r="A470" s="12" t="inlineStr">
        <is>
          <t>USR-100469</t>
        </is>
      </c>
      <c r="B470" s="29" t="n">
        <v>45807</v>
      </c>
      <c r="C470" s="12" t="inlineStr">
        <is>
          <t>Control</t>
        </is>
      </c>
      <c r="D470" s="12" t="inlineStr">
        <is>
          <t>North</t>
        </is>
      </c>
      <c r="E470" s="12" t="inlineStr">
        <is>
          <t>Mobile</t>
        </is>
      </c>
      <c r="F470" s="12" t="inlineStr">
        <is>
          <t>Organic</t>
        </is>
      </c>
      <c r="G470" s="12" t="inlineStr">
        <is>
          <t>Basic</t>
        </is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/>
      <c r="P470" s="12" t="n">
        <v>59.8</v>
      </c>
    </row>
    <row r="471">
      <c r="A471" s="12" t="inlineStr">
        <is>
          <t>USR-100470</t>
        </is>
      </c>
      <c r="B471" s="29" t="n">
        <v>45797</v>
      </c>
      <c r="C471" s="12" t="inlineStr">
        <is>
          <t>Control</t>
        </is>
      </c>
      <c r="D471" s="12" t="inlineStr">
        <is>
          <t>West</t>
        </is>
      </c>
      <c r="E471" s="12" t="inlineStr">
        <is>
          <t>Mobile</t>
        </is>
      </c>
      <c r="F471" s="12" t="inlineStr">
        <is>
          <t>Paid Search</t>
        </is>
      </c>
      <c r="G471" s="12" t="inlineStr">
        <is>
          <t>Free</t>
        </is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/>
      <c r="P471" s="12" t="n">
        <v>58.9</v>
      </c>
    </row>
    <row r="472">
      <c r="A472" s="12" t="inlineStr">
        <is>
          <t>USR-100471</t>
        </is>
      </c>
      <c r="B472" s="29" t="n">
        <v>45666</v>
      </c>
      <c r="C472" s="12" t="inlineStr">
        <is>
          <t>Control</t>
        </is>
      </c>
      <c r="D472" s="12" t="inlineStr">
        <is>
          <t>East</t>
        </is>
      </c>
      <c r="E472" s="12" t="inlineStr">
        <is>
          <t>Desktop</t>
        </is>
      </c>
      <c r="F472" s="12" t="inlineStr">
        <is>
          <t>Organic</t>
        </is>
      </c>
      <c r="G472" s="12" t="inlineStr">
        <is>
          <t>Free</t>
        </is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1</v>
      </c>
      <c r="N472" s="12" t="n">
        <v>0</v>
      </c>
      <c r="O472" s="12" t="n"/>
      <c r="P472" s="12" t="n">
        <v>52.9</v>
      </c>
    </row>
    <row r="473">
      <c r="A473" s="12" t="inlineStr">
        <is>
          <t>USR-100472</t>
        </is>
      </c>
      <c r="B473" s="29" t="n">
        <v>45723</v>
      </c>
      <c r="C473" s="12" t="inlineStr">
        <is>
          <t>Control</t>
        </is>
      </c>
      <c r="D473" s="12" t="inlineStr">
        <is>
          <t>West</t>
        </is>
      </c>
      <c r="E473" s="12" t="inlineStr">
        <is>
          <t>Mobile</t>
        </is>
      </c>
      <c r="F473" s="12" t="inlineStr">
        <is>
          <t>Organic</t>
        </is>
      </c>
      <c r="G473" s="12" t="inlineStr">
        <is>
          <t>Free</t>
        </is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/>
      <c r="P473" s="12" t="n">
        <v>67.8</v>
      </c>
    </row>
    <row r="474">
      <c r="A474" s="12" t="inlineStr">
        <is>
          <t>USR-100473</t>
        </is>
      </c>
      <c r="B474" s="29" t="n">
        <v>45770</v>
      </c>
      <c r="C474" s="12" t="inlineStr">
        <is>
          <t>Control</t>
        </is>
      </c>
      <c r="D474" s="12" t="inlineStr">
        <is>
          <t>South</t>
        </is>
      </c>
      <c r="E474" s="12" t="inlineStr">
        <is>
          <t>Mobile</t>
        </is>
      </c>
      <c r="F474" s="12" t="inlineStr">
        <is>
          <t>Social</t>
        </is>
      </c>
      <c r="G474" s="12" t="inlineStr">
        <is>
          <t>Free</t>
        </is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/>
      <c r="P474" s="12" t="n">
        <v>48.7</v>
      </c>
    </row>
    <row r="475">
      <c r="A475" s="12" t="inlineStr">
        <is>
          <t>USR-100474</t>
        </is>
      </c>
      <c r="B475" s="29" t="n">
        <v>45724</v>
      </c>
      <c r="C475" s="12" t="inlineStr">
        <is>
          <t>Control</t>
        </is>
      </c>
      <c r="D475" s="12" t="inlineStr">
        <is>
          <t>East</t>
        </is>
      </c>
      <c r="E475" s="12" t="inlineStr">
        <is>
          <t>Mobile</t>
        </is>
      </c>
      <c r="F475" s="12" t="inlineStr">
        <is>
          <t>Organic</t>
        </is>
      </c>
      <c r="G475" s="12" t="inlineStr">
        <is>
          <t>Basic</t>
        </is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/>
      <c r="P475" s="12" t="n">
        <v>59</v>
      </c>
    </row>
    <row r="476">
      <c r="A476" s="12" t="inlineStr">
        <is>
          <t>USR-100475</t>
        </is>
      </c>
      <c r="B476" s="29" t="n">
        <v>45702</v>
      </c>
      <c r="C476" s="12" t="inlineStr">
        <is>
          <t>Control</t>
        </is>
      </c>
      <c r="D476" s="12" t="inlineStr">
        <is>
          <t>South</t>
        </is>
      </c>
      <c r="E476" s="12" t="inlineStr">
        <is>
          <t>Mobile</t>
        </is>
      </c>
      <c r="F476" s="12" t="inlineStr">
        <is>
          <t>Referral</t>
        </is>
      </c>
      <c r="G476" s="12" t="inlineStr">
        <is>
          <t>Free</t>
        </is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/>
      <c r="P476" s="12" t="n">
        <v>63.2</v>
      </c>
    </row>
    <row r="477">
      <c r="A477" s="12" t="inlineStr">
        <is>
          <t>USR-100476</t>
        </is>
      </c>
      <c r="B477" s="29" t="n">
        <v>45794</v>
      </c>
      <c r="C477" s="12" t="inlineStr">
        <is>
          <t>Control</t>
        </is>
      </c>
      <c r="D477" s="12" t="inlineStr">
        <is>
          <t>West</t>
        </is>
      </c>
      <c r="E477" s="12" t="inlineStr">
        <is>
          <t>Mobile</t>
        </is>
      </c>
      <c r="F477" s="12" t="inlineStr">
        <is>
          <t>Referral</t>
        </is>
      </c>
      <c r="G477" s="12" t="inlineStr">
        <is>
          <t>Basic</t>
        </is>
      </c>
      <c r="H477" s="12" t="n">
        <v>1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/>
      <c r="P477" s="12" t="n">
        <v>68.7</v>
      </c>
    </row>
    <row r="478">
      <c r="A478" s="12" t="inlineStr">
        <is>
          <t>USR-100477</t>
        </is>
      </c>
      <c r="B478" s="29" t="n">
        <v>45772</v>
      </c>
      <c r="C478" s="12" t="inlineStr">
        <is>
          <t>Control</t>
        </is>
      </c>
      <c r="D478" s="12" t="inlineStr">
        <is>
          <t>South</t>
        </is>
      </c>
      <c r="E478" s="12" t="inlineStr">
        <is>
          <t>Mobile</t>
        </is>
      </c>
      <c r="F478" s="12" t="inlineStr">
        <is>
          <t>Referral</t>
        </is>
      </c>
      <c r="G478" s="12" t="inlineStr">
        <is>
          <t>Free</t>
        </is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/>
      <c r="P478" s="12" t="n">
        <v>52.1</v>
      </c>
    </row>
    <row r="479">
      <c r="A479" s="12" t="inlineStr">
        <is>
          <t>USR-100478</t>
        </is>
      </c>
      <c r="B479" s="29" t="n">
        <v>45720</v>
      </c>
      <c r="C479" s="12" t="inlineStr">
        <is>
          <t>Control</t>
        </is>
      </c>
      <c r="D479" s="12" t="inlineStr">
        <is>
          <t>South</t>
        </is>
      </c>
      <c r="E479" s="12" t="inlineStr">
        <is>
          <t>Desktop</t>
        </is>
      </c>
      <c r="F479" s="12" t="inlineStr">
        <is>
          <t>Social</t>
        </is>
      </c>
      <c r="G479" s="12" t="inlineStr">
        <is>
          <t>Basic</t>
        </is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/>
      <c r="P479" s="12" t="n">
        <v>56.5</v>
      </c>
    </row>
    <row r="480">
      <c r="A480" s="12" t="inlineStr">
        <is>
          <t>USR-100479</t>
        </is>
      </c>
      <c r="B480" s="29" t="n">
        <v>45734</v>
      </c>
      <c r="C480" s="12" t="inlineStr">
        <is>
          <t>Control</t>
        </is>
      </c>
      <c r="D480" s="12" t="inlineStr">
        <is>
          <t>South</t>
        </is>
      </c>
      <c r="E480" s="12" t="inlineStr">
        <is>
          <t>Mobile</t>
        </is>
      </c>
      <c r="F480" s="12" t="inlineStr">
        <is>
          <t>Organic</t>
        </is>
      </c>
      <c r="G480" s="12" t="inlineStr">
        <is>
          <t>Free</t>
        </is>
      </c>
      <c r="H480" s="12" t="n">
        <v>1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/>
      <c r="P480" s="12" t="n">
        <v>64.40000000000001</v>
      </c>
    </row>
    <row r="481">
      <c r="A481" s="12" t="inlineStr">
        <is>
          <t>USR-100480</t>
        </is>
      </c>
      <c r="B481" s="29" t="n">
        <v>45687</v>
      </c>
      <c r="C481" s="12" t="inlineStr">
        <is>
          <t>Control</t>
        </is>
      </c>
      <c r="D481" s="12" t="inlineStr">
        <is>
          <t>West</t>
        </is>
      </c>
      <c r="E481" s="12" t="inlineStr">
        <is>
          <t>Mobile</t>
        </is>
      </c>
      <c r="F481" s="12" t="inlineStr">
        <is>
          <t>Paid Search</t>
        </is>
      </c>
      <c r="G481" s="12" t="inlineStr">
        <is>
          <t>Premium</t>
        </is>
      </c>
      <c r="H481" s="12" t="n">
        <v>1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/>
      <c r="P481" s="12" t="n">
        <v>65.90000000000001</v>
      </c>
    </row>
    <row r="482">
      <c r="A482" s="12" t="inlineStr">
        <is>
          <t>USR-100481</t>
        </is>
      </c>
      <c r="B482" s="29" t="n">
        <v>45797</v>
      </c>
      <c r="C482" s="12" t="inlineStr">
        <is>
          <t>Control</t>
        </is>
      </c>
      <c r="D482" s="12" t="inlineStr">
        <is>
          <t>West</t>
        </is>
      </c>
      <c r="E482" s="12" t="inlineStr">
        <is>
          <t>Tablet</t>
        </is>
      </c>
      <c r="F482" s="12" t="inlineStr">
        <is>
          <t>Referral</t>
        </is>
      </c>
      <c r="G482" s="12" t="inlineStr">
        <is>
          <t>Free</t>
        </is>
      </c>
      <c r="H482" s="12" t="n">
        <v>1</v>
      </c>
      <c r="I482" s="12" t="n">
        <v>1</v>
      </c>
      <c r="J482" s="12" t="n">
        <v>1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/>
      <c r="P482" s="12" t="n">
        <v>100</v>
      </c>
    </row>
    <row r="483">
      <c r="A483" s="12" t="inlineStr">
        <is>
          <t>USR-100482</t>
        </is>
      </c>
      <c r="B483" s="29" t="n">
        <v>45701</v>
      </c>
      <c r="C483" s="12" t="inlineStr">
        <is>
          <t>Control</t>
        </is>
      </c>
      <c r="D483" s="12" t="inlineStr">
        <is>
          <t>North</t>
        </is>
      </c>
      <c r="E483" s="12" t="n"/>
      <c r="F483" s="12" t="inlineStr">
        <is>
          <t>Organic</t>
        </is>
      </c>
      <c r="G483" s="12" t="inlineStr">
        <is>
          <t>Basic</t>
        </is>
      </c>
      <c r="H483" s="12" t="n">
        <v>1</v>
      </c>
      <c r="I483" s="12" t="n">
        <v>1</v>
      </c>
      <c r="J483" s="12" t="n">
        <v>1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/>
      <c r="P483" s="12" t="n">
        <v>50.4</v>
      </c>
    </row>
    <row r="484">
      <c r="A484" s="12" t="inlineStr">
        <is>
          <t>USR-100483</t>
        </is>
      </c>
      <c r="B484" s="29" t="n">
        <v>45759</v>
      </c>
      <c r="C484" s="12" t="inlineStr">
        <is>
          <t>Control</t>
        </is>
      </c>
      <c r="D484" s="12" t="inlineStr">
        <is>
          <t>West</t>
        </is>
      </c>
      <c r="E484" s="12" t="inlineStr">
        <is>
          <t>Desktop</t>
        </is>
      </c>
      <c r="F484" s="12" t="inlineStr">
        <is>
          <t>Organic</t>
        </is>
      </c>
      <c r="G484" s="12" t="inlineStr">
        <is>
          <t>Basic</t>
        </is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/>
      <c r="P484" s="12" t="n">
        <v>41.5</v>
      </c>
    </row>
    <row r="485">
      <c r="A485" s="12" t="inlineStr">
        <is>
          <t>USR-100484</t>
        </is>
      </c>
      <c r="B485" s="29" t="n">
        <v>45754</v>
      </c>
      <c r="C485" s="12" t="inlineStr">
        <is>
          <t>Control</t>
        </is>
      </c>
      <c r="D485" s="12" t="inlineStr">
        <is>
          <t>North</t>
        </is>
      </c>
      <c r="E485" s="12" t="inlineStr">
        <is>
          <t>Mobile</t>
        </is>
      </c>
      <c r="F485" s="12" t="inlineStr">
        <is>
          <t>Email</t>
        </is>
      </c>
      <c r="G485" s="12" t="inlineStr">
        <is>
          <t>Free</t>
        </is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/>
      <c r="P485" s="12" t="n">
        <v>86.2</v>
      </c>
    </row>
    <row r="486">
      <c r="A486" s="12" t="inlineStr">
        <is>
          <t>USR-100485</t>
        </is>
      </c>
      <c r="B486" s="29" t="n">
        <v>45728</v>
      </c>
      <c r="C486" s="12" t="inlineStr">
        <is>
          <t>Control</t>
        </is>
      </c>
      <c r="D486" s="12" t="inlineStr">
        <is>
          <t>North</t>
        </is>
      </c>
      <c r="E486" s="12" t="inlineStr">
        <is>
          <t>Desktop</t>
        </is>
      </c>
      <c r="F486" s="12" t="inlineStr">
        <is>
          <t>Social</t>
        </is>
      </c>
      <c r="G486" s="12" t="inlineStr">
        <is>
          <t>Free</t>
        </is>
      </c>
      <c r="H486" s="12" t="n">
        <v>1</v>
      </c>
      <c r="I486" s="12" t="n">
        <v>1</v>
      </c>
      <c r="J486" s="12" t="n">
        <v>1</v>
      </c>
      <c r="K486" s="12" t="n">
        <v>0</v>
      </c>
      <c r="L486" s="12" t="n">
        <v>0</v>
      </c>
      <c r="M486" s="12" t="n">
        <v>2</v>
      </c>
      <c r="N486" s="12" t="n">
        <v>0</v>
      </c>
      <c r="O486" s="12" t="n"/>
      <c r="P486" s="12" t="n">
        <v>50.8</v>
      </c>
    </row>
    <row r="487">
      <c r="A487" s="12" t="inlineStr">
        <is>
          <t>USR-100486</t>
        </is>
      </c>
      <c r="B487" s="29" t="n">
        <v>45695</v>
      </c>
      <c r="C487" s="12" t="inlineStr">
        <is>
          <t>Control</t>
        </is>
      </c>
      <c r="D487" s="12" t="inlineStr">
        <is>
          <t>West</t>
        </is>
      </c>
      <c r="E487" s="12" t="inlineStr">
        <is>
          <t>Mobile</t>
        </is>
      </c>
      <c r="F487" s="12" t="inlineStr">
        <is>
          <t>Organic</t>
        </is>
      </c>
      <c r="G487" s="12" t="inlineStr">
        <is>
          <t>Free</t>
        </is>
      </c>
      <c r="H487" s="12" t="n">
        <v>1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/>
      <c r="P487" s="12" t="n">
        <v>50.9</v>
      </c>
    </row>
    <row r="488">
      <c r="A488" s="12" t="inlineStr">
        <is>
          <t>USR-100487</t>
        </is>
      </c>
      <c r="B488" s="29" t="n">
        <v>45782</v>
      </c>
      <c r="C488" s="12" t="inlineStr">
        <is>
          <t>Control</t>
        </is>
      </c>
      <c r="D488" s="12" t="inlineStr">
        <is>
          <t>North</t>
        </is>
      </c>
      <c r="E488" s="12" t="inlineStr">
        <is>
          <t>Mobile</t>
        </is>
      </c>
      <c r="F488" s="12" t="inlineStr">
        <is>
          <t>Organic</t>
        </is>
      </c>
      <c r="G488" s="12" t="inlineStr">
        <is>
          <t>Premium</t>
        </is>
      </c>
      <c r="H488" s="12" t="n">
        <v>1</v>
      </c>
      <c r="I488" s="12" t="n">
        <v>1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/>
      <c r="P488" s="12" t="n">
        <v>87.5</v>
      </c>
    </row>
    <row r="489">
      <c r="A489" s="12" t="inlineStr">
        <is>
          <t>USR-100488</t>
        </is>
      </c>
      <c r="B489" s="29" t="n">
        <v>45734</v>
      </c>
      <c r="C489" s="12" t="inlineStr">
        <is>
          <t>Control</t>
        </is>
      </c>
      <c r="D489" s="12" t="inlineStr">
        <is>
          <t>South</t>
        </is>
      </c>
      <c r="E489" s="12" t="inlineStr">
        <is>
          <t>Mobile</t>
        </is>
      </c>
      <c r="F489" s="12" t="inlineStr">
        <is>
          <t>Referral</t>
        </is>
      </c>
      <c r="G489" s="12" t="inlineStr">
        <is>
          <t>Free</t>
        </is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/>
      <c r="P489" s="12" t="n">
        <v>43.6</v>
      </c>
    </row>
    <row r="490">
      <c r="A490" s="12" t="inlineStr">
        <is>
          <t>USR-100489</t>
        </is>
      </c>
      <c r="B490" s="29" t="n">
        <v>45662</v>
      </c>
      <c r="C490" s="12" t="inlineStr">
        <is>
          <t>Control</t>
        </is>
      </c>
      <c r="D490" s="12" t="inlineStr">
        <is>
          <t>South</t>
        </is>
      </c>
      <c r="E490" s="12" t="inlineStr">
        <is>
          <t>Mobile</t>
        </is>
      </c>
      <c r="F490" s="12" t="inlineStr">
        <is>
          <t>Paid Search</t>
        </is>
      </c>
      <c r="G490" s="12" t="inlineStr">
        <is>
          <t>Basic</t>
        </is>
      </c>
      <c r="H490" s="12" t="n">
        <v>1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/>
      <c r="P490" s="12" t="n">
        <v>55.5</v>
      </c>
    </row>
    <row r="491">
      <c r="A491" s="12" t="inlineStr">
        <is>
          <t>USR-100490</t>
        </is>
      </c>
      <c r="B491" s="29" t="n">
        <v>45787</v>
      </c>
      <c r="C491" s="12" t="inlineStr">
        <is>
          <t>Control</t>
        </is>
      </c>
      <c r="D491" s="12" t="inlineStr">
        <is>
          <t>South</t>
        </is>
      </c>
      <c r="E491" s="12" t="inlineStr">
        <is>
          <t>Desktop</t>
        </is>
      </c>
      <c r="F491" s="12" t="inlineStr">
        <is>
          <t>Referral</t>
        </is>
      </c>
      <c r="G491" s="12" t="inlineStr">
        <is>
          <t>Basic</t>
        </is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/>
      <c r="P491" s="12" t="n">
        <v>78.59999999999999</v>
      </c>
    </row>
    <row r="492">
      <c r="A492" s="12" t="inlineStr">
        <is>
          <t>USR-100491</t>
        </is>
      </c>
      <c r="B492" s="29" t="n">
        <v>45660</v>
      </c>
      <c r="C492" s="12" t="inlineStr">
        <is>
          <t>Control</t>
        </is>
      </c>
      <c r="D492" s="12" t="inlineStr">
        <is>
          <t>South</t>
        </is>
      </c>
      <c r="E492" s="12" t="inlineStr">
        <is>
          <t>Mobile</t>
        </is>
      </c>
      <c r="F492" s="12" t="inlineStr">
        <is>
          <t>Social</t>
        </is>
      </c>
      <c r="G492" s="12" t="inlineStr">
        <is>
          <t>Basic</t>
        </is>
      </c>
      <c r="H492" s="12" t="n">
        <v>1</v>
      </c>
      <c r="I492" s="12" t="n">
        <v>1</v>
      </c>
      <c r="J492" s="12" t="n">
        <v>0</v>
      </c>
      <c r="K492" s="12" t="n">
        <v>0</v>
      </c>
      <c r="L492" s="12" t="n">
        <v>0</v>
      </c>
      <c r="M492" s="12" t="n">
        <v>1</v>
      </c>
      <c r="N492" s="12" t="n">
        <v>0</v>
      </c>
      <c r="O492" s="12" t="n"/>
      <c r="P492" s="12" t="n">
        <v>44.3</v>
      </c>
    </row>
    <row r="493">
      <c r="A493" s="12" t="inlineStr">
        <is>
          <t>USR-100492</t>
        </is>
      </c>
      <c r="B493" s="29" t="n">
        <v>45785</v>
      </c>
      <c r="C493" s="12" t="inlineStr">
        <is>
          <t>Control</t>
        </is>
      </c>
      <c r="D493" s="12" t="inlineStr">
        <is>
          <t>South</t>
        </is>
      </c>
      <c r="E493" s="12" t="inlineStr">
        <is>
          <t>Mobile</t>
        </is>
      </c>
      <c r="F493" s="12" t="inlineStr">
        <is>
          <t>Paid Search</t>
        </is>
      </c>
      <c r="G493" s="12" t="inlineStr">
        <is>
          <t>Free</t>
        </is>
      </c>
      <c r="H493" s="12" t="n">
        <v>1</v>
      </c>
      <c r="I493" s="12" t="n">
        <v>1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/>
      <c r="P493" s="12" t="n">
        <v>45.2</v>
      </c>
    </row>
    <row r="494">
      <c r="A494" s="12" t="inlineStr">
        <is>
          <t>USR-100493</t>
        </is>
      </c>
      <c r="B494" s="29" t="n">
        <v>45721</v>
      </c>
      <c r="C494" s="12" t="inlineStr">
        <is>
          <t>Control</t>
        </is>
      </c>
      <c r="D494" s="12" t="inlineStr">
        <is>
          <t>South</t>
        </is>
      </c>
      <c r="E494" s="12" t="inlineStr">
        <is>
          <t>Desktop</t>
        </is>
      </c>
      <c r="F494" s="12" t="inlineStr">
        <is>
          <t>Email</t>
        </is>
      </c>
      <c r="G494" s="12" t="inlineStr">
        <is>
          <t>Basic</t>
        </is>
      </c>
      <c r="H494" s="12" t="n">
        <v>1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2</v>
      </c>
      <c r="N494" s="12" t="n">
        <v>0</v>
      </c>
      <c r="O494" s="12" t="n"/>
      <c r="P494" s="12" t="n">
        <v>46.1</v>
      </c>
    </row>
    <row r="495">
      <c r="A495" s="12" t="inlineStr">
        <is>
          <t>USR-100494</t>
        </is>
      </c>
      <c r="B495" s="29" t="n">
        <v>45705</v>
      </c>
      <c r="C495" s="12" t="inlineStr">
        <is>
          <t>Control</t>
        </is>
      </c>
      <c r="D495" s="12" t="inlineStr">
        <is>
          <t>North</t>
        </is>
      </c>
      <c r="E495" s="12" t="inlineStr">
        <is>
          <t>Mobile</t>
        </is>
      </c>
      <c r="F495" s="12" t="inlineStr">
        <is>
          <t>Organic</t>
        </is>
      </c>
      <c r="G495" s="12" t="inlineStr">
        <is>
          <t>Premium</t>
        </is>
      </c>
      <c r="H495" s="12" t="n">
        <v>1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/>
      <c r="P495" s="12" t="n">
        <v>49.6</v>
      </c>
    </row>
    <row r="496">
      <c r="A496" s="12" t="inlineStr">
        <is>
          <t>USR-100495</t>
        </is>
      </c>
      <c r="B496" s="29" t="n">
        <v>45666</v>
      </c>
      <c r="C496" s="12" t="inlineStr">
        <is>
          <t>Control</t>
        </is>
      </c>
      <c r="D496" s="12" t="inlineStr">
        <is>
          <t>South</t>
        </is>
      </c>
      <c r="E496" s="12" t="inlineStr">
        <is>
          <t>Mobile</t>
        </is>
      </c>
      <c r="F496" s="12" t="inlineStr">
        <is>
          <t>Referral</t>
        </is>
      </c>
      <c r="G496" s="12" t="inlineStr">
        <is>
          <t>Basic</t>
        </is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/>
      <c r="P496" s="12" t="n">
        <v>70.5</v>
      </c>
    </row>
    <row r="497">
      <c r="A497" s="12" t="inlineStr">
        <is>
          <t>USR-100496</t>
        </is>
      </c>
      <c r="B497" s="29" t="n">
        <v>45782</v>
      </c>
      <c r="C497" s="12" t="inlineStr">
        <is>
          <t>Control</t>
        </is>
      </c>
      <c r="D497" s="12" t="inlineStr">
        <is>
          <t>South</t>
        </is>
      </c>
      <c r="E497" s="12" t="inlineStr">
        <is>
          <t>Mobile</t>
        </is>
      </c>
      <c r="F497" s="12" t="inlineStr">
        <is>
          <t>Email</t>
        </is>
      </c>
      <c r="G497" s="12" t="inlineStr">
        <is>
          <t>Basic</t>
        </is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1</v>
      </c>
      <c r="N497" s="12" t="n">
        <v>0</v>
      </c>
      <c r="O497" s="12" t="n"/>
      <c r="P497" s="12" t="n">
        <v>60.8</v>
      </c>
    </row>
    <row r="498">
      <c r="A498" s="12" t="inlineStr">
        <is>
          <t>USR-100497</t>
        </is>
      </c>
      <c r="B498" s="29" t="n">
        <v>45763</v>
      </c>
      <c r="C498" s="12" t="inlineStr">
        <is>
          <t>Control</t>
        </is>
      </c>
      <c r="D498" s="12" t="inlineStr">
        <is>
          <t>East</t>
        </is>
      </c>
      <c r="E498" s="12" t="inlineStr">
        <is>
          <t>Mobile</t>
        </is>
      </c>
      <c r="F498" s="12" t="inlineStr">
        <is>
          <t>Email</t>
        </is>
      </c>
      <c r="G498" s="12" t="inlineStr">
        <is>
          <t>Basic</t>
        </is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1</v>
      </c>
      <c r="N498" s="12" t="n">
        <v>0</v>
      </c>
      <c r="O498" s="12" t="n"/>
      <c r="P498" s="12" t="n">
        <v>50.5</v>
      </c>
    </row>
    <row r="499">
      <c r="A499" s="12" t="inlineStr">
        <is>
          <t>USR-100498</t>
        </is>
      </c>
      <c r="B499" s="29" t="n">
        <v>45718</v>
      </c>
      <c r="C499" s="12" t="inlineStr">
        <is>
          <t>Control</t>
        </is>
      </c>
      <c r="D499" s="12" t="inlineStr">
        <is>
          <t>South</t>
        </is>
      </c>
      <c r="E499" s="12" t="inlineStr">
        <is>
          <t>Desktop</t>
        </is>
      </c>
      <c r="F499" s="12" t="inlineStr">
        <is>
          <t>Organic</t>
        </is>
      </c>
      <c r="G499" s="12" t="inlineStr">
        <is>
          <t>Free</t>
        </is>
      </c>
      <c r="H499" s="12" t="n">
        <v>1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/>
      <c r="P499" s="12" t="n">
        <v>54.9</v>
      </c>
    </row>
    <row r="500">
      <c r="A500" s="12" t="inlineStr">
        <is>
          <t>USR-100499</t>
        </is>
      </c>
      <c r="B500" s="29" t="n">
        <v>45761</v>
      </c>
      <c r="C500" s="12" t="inlineStr">
        <is>
          <t>Control</t>
        </is>
      </c>
      <c r="D500" s="12" t="inlineStr">
        <is>
          <t>South</t>
        </is>
      </c>
      <c r="E500" s="12" t="inlineStr">
        <is>
          <t>Mobile</t>
        </is>
      </c>
      <c r="F500" s="12" t="inlineStr">
        <is>
          <t>Social</t>
        </is>
      </c>
      <c r="G500" s="12" t="inlineStr">
        <is>
          <t>Premium</t>
        </is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/>
      <c r="P500" s="12" t="n">
        <v>29.9</v>
      </c>
    </row>
    <row r="501">
      <c r="A501" s="12" t="inlineStr">
        <is>
          <t>USR-100500</t>
        </is>
      </c>
      <c r="B501" s="29" t="n">
        <v>45703</v>
      </c>
      <c r="C501" s="12" t="inlineStr">
        <is>
          <t>Control</t>
        </is>
      </c>
      <c r="D501" s="12" t="inlineStr">
        <is>
          <t>East</t>
        </is>
      </c>
      <c r="E501" s="12" t="inlineStr">
        <is>
          <t>Desktop</t>
        </is>
      </c>
      <c r="F501" s="12" t="inlineStr">
        <is>
          <t>Paid Search</t>
        </is>
      </c>
      <c r="G501" s="12" t="inlineStr">
        <is>
          <t>Basic</t>
        </is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/>
      <c r="P501" s="12" t="n">
        <v>48.3</v>
      </c>
    </row>
    <row r="502">
      <c r="A502" s="12" t="inlineStr">
        <is>
          <t>USR-100501</t>
        </is>
      </c>
      <c r="B502" s="29" t="n">
        <v>45701</v>
      </c>
      <c r="C502" s="12" t="inlineStr">
        <is>
          <t>Control</t>
        </is>
      </c>
      <c r="D502" s="12" t="inlineStr">
        <is>
          <t>West</t>
        </is>
      </c>
      <c r="E502" s="12" t="inlineStr">
        <is>
          <t>Mobile</t>
        </is>
      </c>
      <c r="F502" s="12" t="inlineStr">
        <is>
          <t>Social</t>
        </is>
      </c>
      <c r="G502" s="12" t="inlineStr">
        <is>
          <t>Free</t>
        </is>
      </c>
      <c r="H502" s="12" t="n">
        <v>1</v>
      </c>
      <c r="I502" s="12" t="n">
        <v>1</v>
      </c>
      <c r="J502" s="12" t="n">
        <v>1</v>
      </c>
      <c r="K502" s="12" t="n">
        <v>1</v>
      </c>
      <c r="L502" s="12" t="n">
        <v>513.61</v>
      </c>
      <c r="M502" s="12" t="n">
        <v>0</v>
      </c>
      <c r="N502" s="12" t="n">
        <v>0</v>
      </c>
      <c r="O502" s="12" t="n">
        <v>7</v>
      </c>
      <c r="P502" s="12" t="n">
        <v>41.3</v>
      </c>
    </row>
    <row r="503">
      <c r="A503" s="12" t="inlineStr">
        <is>
          <t>USR-100502</t>
        </is>
      </c>
      <c r="B503" s="29" t="n">
        <v>45722</v>
      </c>
      <c r="C503" s="12" t="inlineStr">
        <is>
          <t>Control</t>
        </is>
      </c>
      <c r="D503" s="12" t="inlineStr">
        <is>
          <t>North</t>
        </is>
      </c>
      <c r="E503" s="12" t="inlineStr">
        <is>
          <t>Mobile</t>
        </is>
      </c>
      <c r="F503" s="12" t="inlineStr">
        <is>
          <t>Email</t>
        </is>
      </c>
      <c r="G503" s="12" t="inlineStr">
        <is>
          <t>Free</t>
        </is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/>
      <c r="P503" s="12" t="n">
        <v>61.4</v>
      </c>
    </row>
    <row r="504">
      <c r="A504" s="12" t="inlineStr">
        <is>
          <t>USR-100503</t>
        </is>
      </c>
      <c r="B504" s="29" t="n">
        <v>45706</v>
      </c>
      <c r="C504" s="12" t="inlineStr">
        <is>
          <t>Control</t>
        </is>
      </c>
      <c r="D504" s="12" t="inlineStr">
        <is>
          <t>South</t>
        </is>
      </c>
      <c r="E504" s="12" t="inlineStr">
        <is>
          <t>Desktop</t>
        </is>
      </c>
      <c r="F504" s="12" t="inlineStr">
        <is>
          <t>Social</t>
        </is>
      </c>
      <c r="G504" s="12" t="inlineStr">
        <is>
          <t>Free</t>
        </is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/>
      <c r="P504" s="12" t="n">
        <v>57.8</v>
      </c>
    </row>
    <row r="505">
      <c r="A505" s="12" t="inlineStr">
        <is>
          <t>USR-100504</t>
        </is>
      </c>
      <c r="B505" s="29" t="n">
        <v>45754</v>
      </c>
      <c r="C505" s="12" t="inlineStr">
        <is>
          <t>Control</t>
        </is>
      </c>
      <c r="D505" s="12" t="inlineStr">
        <is>
          <t>North</t>
        </is>
      </c>
      <c r="E505" s="12" t="inlineStr">
        <is>
          <t>Desktop</t>
        </is>
      </c>
      <c r="F505" s="12" t="inlineStr">
        <is>
          <t>Organic</t>
        </is>
      </c>
      <c r="G505" s="12" t="inlineStr">
        <is>
          <t>Free</t>
        </is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/>
      <c r="P505" s="12" t="n">
        <v>78.2</v>
      </c>
    </row>
    <row r="506">
      <c r="A506" s="12" t="inlineStr">
        <is>
          <t>USR-100505</t>
        </is>
      </c>
      <c r="B506" s="29" t="n">
        <v>45753</v>
      </c>
      <c r="C506" s="12" t="inlineStr">
        <is>
          <t>Control</t>
        </is>
      </c>
      <c r="D506" s="12" t="inlineStr">
        <is>
          <t>North</t>
        </is>
      </c>
      <c r="E506" s="12" t="inlineStr">
        <is>
          <t>Mobile</t>
        </is>
      </c>
      <c r="F506" s="12" t="inlineStr">
        <is>
          <t>Referral</t>
        </is>
      </c>
      <c r="G506" s="12" t="inlineStr">
        <is>
          <t>Free</t>
        </is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/>
      <c r="P506" s="12" t="n">
        <v>63.8</v>
      </c>
    </row>
    <row r="507">
      <c r="A507" s="12" t="inlineStr">
        <is>
          <t>USR-100506</t>
        </is>
      </c>
      <c r="B507" s="29" t="n">
        <v>45687</v>
      </c>
      <c r="C507" s="12" t="inlineStr">
        <is>
          <t>Control</t>
        </is>
      </c>
      <c r="D507" s="12" t="inlineStr">
        <is>
          <t>North</t>
        </is>
      </c>
      <c r="E507" s="12" t="inlineStr">
        <is>
          <t>Desktop</t>
        </is>
      </c>
      <c r="F507" s="12" t="inlineStr">
        <is>
          <t>Social</t>
        </is>
      </c>
      <c r="G507" s="12" t="inlineStr">
        <is>
          <t>Free</t>
        </is>
      </c>
      <c r="H507" s="12" t="n">
        <v>1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/>
      <c r="P507" s="12" t="n">
        <v>56.8</v>
      </c>
    </row>
    <row r="508">
      <c r="A508" s="12" t="inlineStr">
        <is>
          <t>USR-100507</t>
        </is>
      </c>
      <c r="B508" s="29" t="n">
        <v>45790</v>
      </c>
      <c r="C508" s="12" t="inlineStr">
        <is>
          <t>Control</t>
        </is>
      </c>
      <c r="D508" s="12" t="inlineStr">
        <is>
          <t>South</t>
        </is>
      </c>
      <c r="E508" s="12" t="inlineStr">
        <is>
          <t>Desktop</t>
        </is>
      </c>
      <c r="F508" s="12" t="inlineStr">
        <is>
          <t>Organic</t>
        </is>
      </c>
      <c r="G508" s="12" t="inlineStr">
        <is>
          <t>Basic</t>
        </is>
      </c>
      <c r="H508" s="12" t="n">
        <v>1</v>
      </c>
      <c r="I508" s="12" t="n">
        <v>1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/>
      <c r="P508" s="12" t="n">
        <v>59.6</v>
      </c>
    </row>
    <row r="509">
      <c r="A509" s="12" t="inlineStr">
        <is>
          <t>USR-100508</t>
        </is>
      </c>
      <c r="B509" s="29" t="n">
        <v>45677</v>
      </c>
      <c r="C509" s="12" t="inlineStr">
        <is>
          <t>Control</t>
        </is>
      </c>
      <c r="D509" s="12" t="inlineStr">
        <is>
          <t>West</t>
        </is>
      </c>
      <c r="E509" s="12" t="inlineStr">
        <is>
          <t>Mobile</t>
        </is>
      </c>
      <c r="F509" s="12" t="inlineStr">
        <is>
          <t>Paid Search</t>
        </is>
      </c>
      <c r="G509" s="12" t="inlineStr">
        <is>
          <t>Premium</t>
        </is>
      </c>
      <c r="H509" s="12" t="n">
        <v>1</v>
      </c>
      <c r="I509" s="12" t="n">
        <v>1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/>
      <c r="P509" s="12" t="n">
        <v>50</v>
      </c>
    </row>
    <row r="510">
      <c r="A510" s="12" t="inlineStr">
        <is>
          <t>USR-100509</t>
        </is>
      </c>
      <c r="B510" s="29" t="n">
        <v>45687</v>
      </c>
      <c r="C510" s="12" t="inlineStr">
        <is>
          <t>Control</t>
        </is>
      </c>
      <c r="D510" s="12" t="inlineStr">
        <is>
          <t>North</t>
        </is>
      </c>
      <c r="E510" s="12" t="inlineStr">
        <is>
          <t>Tablet</t>
        </is>
      </c>
      <c r="F510" s="12" t="inlineStr">
        <is>
          <t>Organic</t>
        </is>
      </c>
      <c r="G510" s="12" t="inlineStr">
        <is>
          <t>Free</t>
        </is>
      </c>
      <c r="H510" s="12" t="n">
        <v>1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/>
      <c r="P510" s="12" t="n">
        <v>35.7</v>
      </c>
    </row>
    <row r="511">
      <c r="A511" s="12" t="inlineStr">
        <is>
          <t>USR-100510</t>
        </is>
      </c>
      <c r="B511" s="29" t="n">
        <v>45670</v>
      </c>
      <c r="C511" s="12" t="inlineStr">
        <is>
          <t>Control</t>
        </is>
      </c>
      <c r="D511" s="12" t="inlineStr">
        <is>
          <t>South</t>
        </is>
      </c>
      <c r="E511" s="12" t="inlineStr">
        <is>
          <t>Mobile</t>
        </is>
      </c>
      <c r="F511" s="12" t="inlineStr">
        <is>
          <t>Organic</t>
        </is>
      </c>
      <c r="G511" s="12" t="inlineStr">
        <is>
          <t>Free</t>
        </is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2</v>
      </c>
      <c r="N511" s="12" t="n">
        <v>0</v>
      </c>
      <c r="O511" s="12" t="n"/>
      <c r="P511" s="12" t="n">
        <v>47.2</v>
      </c>
    </row>
    <row r="512">
      <c r="A512" s="12" t="inlineStr">
        <is>
          <t>USR-100511</t>
        </is>
      </c>
      <c r="B512" s="29" t="n">
        <v>45699</v>
      </c>
      <c r="C512" s="12" t="inlineStr">
        <is>
          <t>Control</t>
        </is>
      </c>
      <c r="D512" s="12" t="inlineStr">
        <is>
          <t>North</t>
        </is>
      </c>
      <c r="E512" s="12" t="inlineStr">
        <is>
          <t>Mobile</t>
        </is>
      </c>
      <c r="F512" s="12" t="inlineStr">
        <is>
          <t>Social</t>
        </is>
      </c>
      <c r="G512" s="12" t="inlineStr">
        <is>
          <t>Free</t>
        </is>
      </c>
      <c r="H512" s="12" t="n">
        <v>1</v>
      </c>
      <c r="I512" s="12" t="n">
        <v>1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/>
      <c r="P512" s="12" t="n">
        <v>56.9</v>
      </c>
    </row>
    <row r="513">
      <c r="A513" s="12" t="inlineStr">
        <is>
          <t>USR-100512</t>
        </is>
      </c>
      <c r="B513" s="29" t="n">
        <v>45762</v>
      </c>
      <c r="C513" s="12" t="inlineStr">
        <is>
          <t>Control</t>
        </is>
      </c>
      <c r="D513" s="12" t="inlineStr">
        <is>
          <t>South</t>
        </is>
      </c>
      <c r="E513" s="12" t="inlineStr">
        <is>
          <t>Mobile</t>
        </is>
      </c>
      <c r="F513" s="12" t="inlineStr">
        <is>
          <t>Organic</t>
        </is>
      </c>
      <c r="G513" s="12" t="inlineStr">
        <is>
          <t>Free</t>
        </is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1</v>
      </c>
      <c r="N513" s="12" t="n">
        <v>0</v>
      </c>
      <c r="O513" s="12" t="n"/>
      <c r="P513" s="12" t="n">
        <v>57.2</v>
      </c>
    </row>
    <row r="514">
      <c r="A514" s="12" t="inlineStr">
        <is>
          <t>USR-100513</t>
        </is>
      </c>
      <c r="B514" s="29" t="n">
        <v>45701</v>
      </c>
      <c r="C514" s="12" t="inlineStr">
        <is>
          <t>Control</t>
        </is>
      </c>
      <c r="D514" s="12" t="inlineStr">
        <is>
          <t>South</t>
        </is>
      </c>
      <c r="E514" s="12" t="inlineStr">
        <is>
          <t>Mobile</t>
        </is>
      </c>
      <c r="F514" s="12" t="n"/>
      <c r="G514" s="12" t="inlineStr">
        <is>
          <t>Free</t>
        </is>
      </c>
      <c r="H514" s="12" t="n">
        <v>1</v>
      </c>
      <c r="I514" s="12" t="n">
        <v>1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/>
      <c r="P514" s="12" t="n">
        <v>31.4</v>
      </c>
    </row>
    <row r="515">
      <c r="A515" s="12" t="inlineStr">
        <is>
          <t>USR-100514</t>
        </is>
      </c>
      <c r="B515" s="29" t="n">
        <v>45786</v>
      </c>
      <c r="C515" s="12" t="inlineStr">
        <is>
          <t>Control</t>
        </is>
      </c>
      <c r="D515" s="12" t="inlineStr">
        <is>
          <t>South</t>
        </is>
      </c>
      <c r="E515" s="12" t="inlineStr">
        <is>
          <t>Desktop</t>
        </is>
      </c>
      <c r="F515" s="12" t="inlineStr">
        <is>
          <t>Organic</t>
        </is>
      </c>
      <c r="G515" s="12" t="inlineStr">
        <is>
          <t>Free</t>
        </is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/>
      <c r="P515" s="12" t="n">
        <v>71.2</v>
      </c>
    </row>
    <row r="516">
      <c r="A516" s="12" t="inlineStr">
        <is>
          <t>USR-100515</t>
        </is>
      </c>
      <c r="B516" s="29" t="n">
        <v>45726</v>
      </c>
      <c r="C516" s="12" t="inlineStr">
        <is>
          <t>Control</t>
        </is>
      </c>
      <c r="D516" s="12" t="inlineStr">
        <is>
          <t>North</t>
        </is>
      </c>
      <c r="E516" s="12" t="inlineStr">
        <is>
          <t>Mobile</t>
        </is>
      </c>
      <c r="F516" s="12" t="inlineStr">
        <is>
          <t>Paid Search</t>
        </is>
      </c>
      <c r="G516" s="12" t="inlineStr">
        <is>
          <t>Free</t>
        </is>
      </c>
      <c r="H516" s="12" t="n">
        <v>1</v>
      </c>
      <c r="I516" s="12" t="n">
        <v>1</v>
      </c>
      <c r="J516" s="12" t="n">
        <v>1</v>
      </c>
      <c r="K516" s="12" t="n">
        <v>0</v>
      </c>
      <c r="L516" s="12" t="n">
        <v>0</v>
      </c>
      <c r="M516" s="12" t="n">
        <v>1</v>
      </c>
      <c r="N516" s="12" t="n">
        <v>0</v>
      </c>
      <c r="O516" s="12" t="n"/>
      <c r="P516" s="12" t="n">
        <v>38.3</v>
      </c>
    </row>
    <row r="517">
      <c r="A517" s="12" t="inlineStr">
        <is>
          <t>USR-100516</t>
        </is>
      </c>
      <c r="B517" s="29" t="n">
        <v>45748</v>
      </c>
      <c r="C517" s="12" t="inlineStr">
        <is>
          <t>Control</t>
        </is>
      </c>
      <c r="D517" s="12" t="inlineStr">
        <is>
          <t>North</t>
        </is>
      </c>
      <c r="E517" s="12" t="inlineStr">
        <is>
          <t>Mobile</t>
        </is>
      </c>
      <c r="F517" s="12" t="inlineStr">
        <is>
          <t>Organic</t>
        </is>
      </c>
      <c r="G517" s="12" t="inlineStr">
        <is>
          <t>Free</t>
        </is>
      </c>
      <c r="H517" s="12" t="n">
        <v>1</v>
      </c>
      <c r="I517" s="12" t="n">
        <v>1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/>
      <c r="P517" s="12" t="n">
        <v>63.1</v>
      </c>
    </row>
    <row r="518">
      <c r="A518" s="12" t="inlineStr">
        <is>
          <t>USR-100517</t>
        </is>
      </c>
      <c r="B518" s="29" t="n">
        <v>45792</v>
      </c>
      <c r="C518" s="12" t="inlineStr">
        <is>
          <t>Control</t>
        </is>
      </c>
      <c r="D518" s="12" t="inlineStr">
        <is>
          <t>East</t>
        </is>
      </c>
      <c r="E518" s="12" t="inlineStr">
        <is>
          <t>Mobile</t>
        </is>
      </c>
      <c r="F518" s="12" t="inlineStr">
        <is>
          <t>Referral</t>
        </is>
      </c>
      <c r="G518" s="12" t="inlineStr">
        <is>
          <t>Basic</t>
        </is>
      </c>
      <c r="H518" s="12" t="n">
        <v>1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/>
      <c r="P518" s="12" t="n">
        <v>59.7</v>
      </c>
    </row>
    <row r="519">
      <c r="A519" s="12" t="inlineStr">
        <is>
          <t>USR-100518</t>
        </is>
      </c>
      <c r="B519" s="29" t="n">
        <v>45781</v>
      </c>
      <c r="C519" s="12" t="inlineStr">
        <is>
          <t>Control</t>
        </is>
      </c>
      <c r="D519" s="12" t="inlineStr">
        <is>
          <t>South</t>
        </is>
      </c>
      <c r="E519" s="12" t="inlineStr">
        <is>
          <t>Desktop</t>
        </is>
      </c>
      <c r="F519" s="12" t="inlineStr">
        <is>
          <t>Social</t>
        </is>
      </c>
      <c r="G519" s="12" t="inlineStr">
        <is>
          <t>Premium</t>
        </is>
      </c>
      <c r="H519" s="12" t="n">
        <v>1</v>
      </c>
      <c r="I519" s="12" t="n">
        <v>1</v>
      </c>
      <c r="J519" s="12" t="n">
        <v>1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/>
      <c r="P519" s="12" t="n">
        <v>59.5</v>
      </c>
    </row>
    <row r="520">
      <c r="A520" s="12" t="inlineStr">
        <is>
          <t>USR-100519</t>
        </is>
      </c>
      <c r="B520" s="29" t="n">
        <v>45797</v>
      </c>
      <c r="C520" s="12" t="inlineStr">
        <is>
          <t>Control</t>
        </is>
      </c>
      <c r="D520" s="12" t="inlineStr">
        <is>
          <t>East</t>
        </is>
      </c>
      <c r="E520" s="12" t="inlineStr">
        <is>
          <t>Mobile</t>
        </is>
      </c>
      <c r="F520" s="12" t="inlineStr">
        <is>
          <t>Paid Search</t>
        </is>
      </c>
      <c r="G520" s="12" t="inlineStr">
        <is>
          <t>Free</t>
        </is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/>
      <c r="P520" s="12" t="n">
        <v>78.8</v>
      </c>
    </row>
    <row r="521">
      <c r="A521" s="12" t="inlineStr">
        <is>
          <t>USR-100520</t>
        </is>
      </c>
      <c r="B521" s="29" t="n">
        <v>45793</v>
      </c>
      <c r="C521" s="12" t="inlineStr">
        <is>
          <t>Control</t>
        </is>
      </c>
      <c r="D521" s="12" t="inlineStr">
        <is>
          <t>West</t>
        </is>
      </c>
      <c r="E521" s="12" t="inlineStr">
        <is>
          <t>Desktop</t>
        </is>
      </c>
      <c r="F521" s="12" t="inlineStr">
        <is>
          <t>Referral</t>
        </is>
      </c>
      <c r="G521" s="12" t="inlineStr">
        <is>
          <t>Free</t>
        </is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/>
      <c r="P521" s="12" t="n">
        <v>54</v>
      </c>
    </row>
    <row r="522">
      <c r="A522" s="12" t="inlineStr">
        <is>
          <t>USR-100521</t>
        </is>
      </c>
      <c r="B522" s="29" t="n">
        <v>45733</v>
      </c>
      <c r="C522" s="12" t="inlineStr">
        <is>
          <t>Control</t>
        </is>
      </c>
      <c r="D522" s="12" t="inlineStr">
        <is>
          <t>West</t>
        </is>
      </c>
      <c r="E522" s="12" t="inlineStr">
        <is>
          <t>Mobile</t>
        </is>
      </c>
      <c r="F522" s="12" t="inlineStr">
        <is>
          <t>Organic</t>
        </is>
      </c>
      <c r="G522" s="12" t="inlineStr">
        <is>
          <t>Free</t>
        </is>
      </c>
      <c r="H522" s="12" t="n">
        <v>1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/>
      <c r="P522" s="12" t="n">
        <v>66.3</v>
      </c>
    </row>
    <row r="523">
      <c r="A523" s="12" t="inlineStr">
        <is>
          <t>USR-100522</t>
        </is>
      </c>
      <c r="B523" s="29" t="n">
        <v>45684</v>
      </c>
      <c r="C523" s="12" t="inlineStr">
        <is>
          <t>Control</t>
        </is>
      </c>
      <c r="D523" s="12" t="inlineStr">
        <is>
          <t>East</t>
        </is>
      </c>
      <c r="E523" s="12" t="inlineStr">
        <is>
          <t>Tablet</t>
        </is>
      </c>
      <c r="F523" s="12" t="inlineStr">
        <is>
          <t>Paid Search</t>
        </is>
      </c>
      <c r="G523" s="12" t="inlineStr">
        <is>
          <t>Free</t>
        </is>
      </c>
      <c r="H523" s="12" t="n">
        <v>1</v>
      </c>
      <c r="I523" s="12" t="n">
        <v>1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/>
      <c r="P523" s="12" t="n">
        <v>54.7</v>
      </c>
    </row>
    <row r="524">
      <c r="A524" s="12" t="inlineStr">
        <is>
          <t>USR-100523</t>
        </is>
      </c>
      <c r="B524" s="29" t="n">
        <v>45760</v>
      </c>
      <c r="C524" s="12" t="inlineStr">
        <is>
          <t>Control</t>
        </is>
      </c>
      <c r="D524" s="12" t="inlineStr">
        <is>
          <t>South</t>
        </is>
      </c>
      <c r="E524" s="12" t="inlineStr">
        <is>
          <t>Mobile</t>
        </is>
      </c>
      <c r="F524" s="12" t="inlineStr">
        <is>
          <t>Organic</t>
        </is>
      </c>
      <c r="G524" s="12" t="inlineStr">
        <is>
          <t>Basic</t>
        </is>
      </c>
      <c r="H524" s="12" t="n">
        <v>1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/>
      <c r="P524" s="12" t="n">
        <v>76.7</v>
      </c>
    </row>
    <row r="525">
      <c r="A525" s="12" t="inlineStr">
        <is>
          <t>USR-100524</t>
        </is>
      </c>
      <c r="B525" s="29" t="n">
        <v>45780</v>
      </c>
      <c r="C525" s="12" t="inlineStr">
        <is>
          <t>Control</t>
        </is>
      </c>
      <c r="D525" s="12" t="inlineStr">
        <is>
          <t>South</t>
        </is>
      </c>
      <c r="E525" s="12" t="inlineStr">
        <is>
          <t>Desktop</t>
        </is>
      </c>
      <c r="F525" s="12" t="inlineStr">
        <is>
          <t>Email</t>
        </is>
      </c>
      <c r="G525" s="12" t="inlineStr">
        <is>
          <t>Basic</t>
        </is>
      </c>
      <c r="H525" s="12" t="n">
        <v>1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2</v>
      </c>
      <c r="N525" s="12" t="n">
        <v>0</v>
      </c>
      <c r="O525" s="12" t="n"/>
      <c r="P525" s="12" t="n">
        <v>47.4</v>
      </c>
    </row>
    <row r="526">
      <c r="A526" s="12" t="inlineStr">
        <is>
          <t>USR-100525</t>
        </is>
      </c>
      <c r="B526" s="29" t="n">
        <v>45746</v>
      </c>
      <c r="C526" s="12" t="inlineStr">
        <is>
          <t>Control</t>
        </is>
      </c>
      <c r="D526" s="12" t="inlineStr">
        <is>
          <t>North</t>
        </is>
      </c>
      <c r="E526" s="12" t="inlineStr">
        <is>
          <t>Mobile</t>
        </is>
      </c>
      <c r="F526" s="12" t="inlineStr">
        <is>
          <t>Organic</t>
        </is>
      </c>
      <c r="G526" s="12" t="inlineStr">
        <is>
          <t>Free</t>
        </is>
      </c>
      <c r="H526" s="12" t="n">
        <v>1</v>
      </c>
      <c r="I526" s="12" t="n">
        <v>1</v>
      </c>
      <c r="J526" s="12" t="n">
        <v>1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/>
      <c r="P526" s="12" t="n">
        <v>81.7</v>
      </c>
    </row>
    <row r="527">
      <c r="A527" s="12" t="inlineStr">
        <is>
          <t>USR-100526</t>
        </is>
      </c>
      <c r="B527" s="29" t="n">
        <v>45658</v>
      </c>
      <c r="C527" s="12" t="inlineStr">
        <is>
          <t>Control</t>
        </is>
      </c>
      <c r="D527" s="12" t="inlineStr">
        <is>
          <t>West</t>
        </is>
      </c>
      <c r="E527" s="12" t="inlineStr">
        <is>
          <t>Mobile</t>
        </is>
      </c>
      <c r="F527" s="12" t="inlineStr">
        <is>
          <t>Paid Search</t>
        </is>
      </c>
      <c r="G527" s="12" t="inlineStr">
        <is>
          <t>Basic</t>
        </is>
      </c>
      <c r="H527" s="12" t="n">
        <v>1</v>
      </c>
      <c r="I527" s="12" t="n">
        <v>1</v>
      </c>
      <c r="J527" s="12" t="n">
        <v>1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/>
      <c r="P527" s="12" t="n">
        <v>67.5</v>
      </c>
    </row>
    <row r="528">
      <c r="A528" s="12" t="inlineStr">
        <is>
          <t>USR-100527</t>
        </is>
      </c>
      <c r="B528" s="29" t="n">
        <v>45694</v>
      </c>
      <c r="C528" s="12" t="inlineStr">
        <is>
          <t>Control</t>
        </is>
      </c>
      <c r="D528" s="12" t="inlineStr">
        <is>
          <t>West</t>
        </is>
      </c>
      <c r="E528" s="12" t="inlineStr">
        <is>
          <t>Mobile</t>
        </is>
      </c>
      <c r="F528" s="12" t="inlineStr">
        <is>
          <t>Paid Search</t>
        </is>
      </c>
      <c r="G528" s="12" t="inlineStr">
        <is>
          <t>Basic</t>
        </is>
      </c>
      <c r="H528" s="12" t="n">
        <v>1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/>
      <c r="P528" s="12" t="n">
        <v>36.8</v>
      </c>
    </row>
    <row r="529">
      <c r="A529" s="12" t="inlineStr">
        <is>
          <t>USR-100528</t>
        </is>
      </c>
      <c r="B529" s="29" t="n">
        <v>45713</v>
      </c>
      <c r="C529" s="12" t="inlineStr">
        <is>
          <t>Control</t>
        </is>
      </c>
      <c r="D529" s="12" t="inlineStr">
        <is>
          <t>North</t>
        </is>
      </c>
      <c r="E529" s="12" t="inlineStr">
        <is>
          <t>Desktop</t>
        </is>
      </c>
      <c r="F529" s="12" t="inlineStr">
        <is>
          <t>Organic</t>
        </is>
      </c>
      <c r="G529" s="12" t="inlineStr">
        <is>
          <t>Free</t>
        </is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/>
      <c r="P529" s="12" t="n">
        <v>66.5</v>
      </c>
    </row>
    <row r="530">
      <c r="A530" s="12" t="inlineStr">
        <is>
          <t>USR-100529</t>
        </is>
      </c>
      <c r="B530" s="29" t="n">
        <v>45791</v>
      </c>
      <c r="C530" s="12" t="inlineStr">
        <is>
          <t>Control</t>
        </is>
      </c>
      <c r="D530" s="12" t="inlineStr">
        <is>
          <t>East</t>
        </is>
      </c>
      <c r="E530" s="12" t="inlineStr">
        <is>
          <t>Tablet</t>
        </is>
      </c>
      <c r="F530" s="12" t="inlineStr">
        <is>
          <t>Social</t>
        </is>
      </c>
      <c r="G530" s="12" t="inlineStr">
        <is>
          <t>Free</t>
        </is>
      </c>
      <c r="H530" s="12" t="n">
        <v>1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/>
      <c r="P530" s="12" t="n">
        <v>35.4</v>
      </c>
    </row>
    <row r="531">
      <c r="A531" s="12" t="inlineStr">
        <is>
          <t>USR-100530</t>
        </is>
      </c>
      <c r="B531" s="29" t="n">
        <v>45797</v>
      </c>
      <c r="C531" s="12" t="inlineStr">
        <is>
          <t>Control</t>
        </is>
      </c>
      <c r="D531" s="12" t="inlineStr">
        <is>
          <t>South</t>
        </is>
      </c>
      <c r="E531" s="12" t="inlineStr">
        <is>
          <t>Mobile</t>
        </is>
      </c>
      <c r="F531" s="12" t="inlineStr">
        <is>
          <t>Organic</t>
        </is>
      </c>
      <c r="G531" s="12" t="inlineStr">
        <is>
          <t>Basic</t>
        </is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/>
      <c r="P531" s="12" t="n">
        <v>64.3</v>
      </c>
    </row>
    <row r="532">
      <c r="A532" s="12" t="inlineStr">
        <is>
          <t>USR-100531</t>
        </is>
      </c>
      <c r="B532" s="29" t="n">
        <v>45699</v>
      </c>
      <c r="C532" s="12" t="inlineStr">
        <is>
          <t>Control</t>
        </is>
      </c>
      <c r="D532" s="12" t="inlineStr">
        <is>
          <t>South</t>
        </is>
      </c>
      <c r="E532" s="12" t="inlineStr">
        <is>
          <t>Mobile</t>
        </is>
      </c>
      <c r="F532" s="12" t="inlineStr">
        <is>
          <t>Organic</t>
        </is>
      </c>
      <c r="G532" s="12" t="inlineStr">
        <is>
          <t>Free</t>
        </is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/>
      <c r="P532" s="12" t="n">
        <v>49.1</v>
      </c>
    </row>
    <row r="533">
      <c r="A533" s="12" t="inlineStr">
        <is>
          <t>USR-100532</t>
        </is>
      </c>
      <c r="B533" s="29" t="n">
        <v>45701</v>
      </c>
      <c r="C533" s="12" t="inlineStr">
        <is>
          <t>Control</t>
        </is>
      </c>
      <c r="D533" s="12" t="inlineStr">
        <is>
          <t>West</t>
        </is>
      </c>
      <c r="E533" s="12" t="inlineStr">
        <is>
          <t>Mobile</t>
        </is>
      </c>
      <c r="F533" s="12" t="inlineStr">
        <is>
          <t>Organic</t>
        </is>
      </c>
      <c r="G533" s="12" t="inlineStr">
        <is>
          <t>Free</t>
        </is>
      </c>
      <c r="H533" s="12" t="n">
        <v>1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/>
      <c r="P533" s="12" t="n">
        <v>84.3</v>
      </c>
    </row>
    <row r="534">
      <c r="A534" s="12" t="inlineStr">
        <is>
          <t>USR-100533</t>
        </is>
      </c>
      <c r="B534" s="29" t="n">
        <v>45754</v>
      </c>
      <c r="C534" s="12" t="inlineStr">
        <is>
          <t>Control</t>
        </is>
      </c>
      <c r="D534" s="12" t="inlineStr">
        <is>
          <t>South</t>
        </is>
      </c>
      <c r="E534" s="12" t="inlineStr">
        <is>
          <t>Mobile</t>
        </is>
      </c>
      <c r="F534" s="12" t="inlineStr">
        <is>
          <t>Paid Search</t>
        </is>
      </c>
      <c r="G534" s="12" t="inlineStr">
        <is>
          <t>Premium</t>
        </is>
      </c>
      <c r="H534" s="12" t="n">
        <v>1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/>
      <c r="P534" s="12" t="n">
        <v>65.59999999999999</v>
      </c>
    </row>
    <row r="535">
      <c r="A535" s="12" t="inlineStr">
        <is>
          <t>USR-100534</t>
        </is>
      </c>
      <c r="B535" s="29" t="n">
        <v>45724</v>
      </c>
      <c r="C535" s="12" t="inlineStr">
        <is>
          <t>Control</t>
        </is>
      </c>
      <c r="D535" s="12" t="inlineStr">
        <is>
          <t>East</t>
        </is>
      </c>
      <c r="E535" s="12" t="inlineStr">
        <is>
          <t>Mobile</t>
        </is>
      </c>
      <c r="F535" s="12" t="inlineStr">
        <is>
          <t>Email</t>
        </is>
      </c>
      <c r="G535" s="12" t="inlineStr">
        <is>
          <t>Free</t>
        </is>
      </c>
      <c r="H535" s="12" t="n">
        <v>1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/>
      <c r="P535" s="12" t="n">
        <v>47.1</v>
      </c>
    </row>
    <row r="536">
      <c r="A536" s="12" t="inlineStr">
        <is>
          <t>USR-100535</t>
        </is>
      </c>
      <c r="B536" s="29" t="n">
        <v>45704</v>
      </c>
      <c r="C536" s="12" t="inlineStr">
        <is>
          <t>Control</t>
        </is>
      </c>
      <c r="D536" s="12" t="inlineStr">
        <is>
          <t>North</t>
        </is>
      </c>
      <c r="E536" s="12" t="inlineStr">
        <is>
          <t>Desktop</t>
        </is>
      </c>
      <c r="F536" s="12" t="inlineStr">
        <is>
          <t>Paid Search</t>
        </is>
      </c>
      <c r="G536" s="12" t="inlineStr">
        <is>
          <t>Free</t>
        </is>
      </c>
      <c r="H536" s="12" t="n">
        <v>1</v>
      </c>
      <c r="I536" s="12" t="n">
        <v>1</v>
      </c>
      <c r="J536" s="12" t="n">
        <v>1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/>
      <c r="P536" s="12" t="n">
        <v>70</v>
      </c>
    </row>
    <row r="537">
      <c r="A537" s="12" t="inlineStr">
        <is>
          <t>USR-100536</t>
        </is>
      </c>
      <c r="B537" s="29" t="n">
        <v>45775</v>
      </c>
      <c r="C537" s="12" t="inlineStr">
        <is>
          <t>Control</t>
        </is>
      </c>
      <c r="D537" s="12" t="inlineStr">
        <is>
          <t>South</t>
        </is>
      </c>
      <c r="E537" s="12" t="inlineStr">
        <is>
          <t>Mobile</t>
        </is>
      </c>
      <c r="F537" s="12" t="inlineStr">
        <is>
          <t>Paid Search</t>
        </is>
      </c>
      <c r="G537" s="12" t="inlineStr">
        <is>
          <t>Premium</t>
        </is>
      </c>
      <c r="H537" s="12" t="n">
        <v>1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/>
      <c r="P537" s="12" t="n">
        <v>54.6</v>
      </c>
    </row>
    <row r="538">
      <c r="A538" s="12" t="inlineStr">
        <is>
          <t>USR-100537</t>
        </is>
      </c>
      <c r="B538" s="29" t="n">
        <v>45726</v>
      </c>
      <c r="C538" s="12" t="inlineStr">
        <is>
          <t>Control</t>
        </is>
      </c>
      <c r="D538" s="12" t="inlineStr">
        <is>
          <t>West</t>
        </is>
      </c>
      <c r="E538" s="12" t="inlineStr">
        <is>
          <t>Tablet</t>
        </is>
      </c>
      <c r="F538" s="12" t="inlineStr">
        <is>
          <t>Social</t>
        </is>
      </c>
      <c r="G538" s="12" t="inlineStr">
        <is>
          <t>Basic</t>
        </is>
      </c>
      <c r="H538" s="12" t="n">
        <v>1</v>
      </c>
      <c r="I538" s="12" t="n">
        <v>1</v>
      </c>
      <c r="J538" s="12" t="n">
        <v>0</v>
      </c>
      <c r="K538" s="12" t="n">
        <v>0</v>
      </c>
      <c r="L538" s="12" t="n">
        <v>0</v>
      </c>
      <c r="M538" s="12" t="n">
        <v>1</v>
      </c>
      <c r="N538" s="12" t="n">
        <v>0</v>
      </c>
      <c r="O538" s="12" t="n"/>
      <c r="P538" s="12" t="n">
        <v>65.2</v>
      </c>
    </row>
    <row r="539">
      <c r="A539" s="12" t="inlineStr">
        <is>
          <t>USR-100538</t>
        </is>
      </c>
      <c r="B539" s="29" t="n">
        <v>45682</v>
      </c>
      <c r="C539" s="12" t="inlineStr">
        <is>
          <t>Control</t>
        </is>
      </c>
      <c r="D539" s="12" t="inlineStr">
        <is>
          <t>East</t>
        </is>
      </c>
      <c r="E539" s="12" t="inlineStr">
        <is>
          <t>Mobile</t>
        </is>
      </c>
      <c r="F539" s="12" t="inlineStr">
        <is>
          <t>Social</t>
        </is>
      </c>
      <c r="G539" s="12" t="inlineStr">
        <is>
          <t>Free</t>
        </is>
      </c>
      <c r="H539" s="12" t="n">
        <v>1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/>
      <c r="P539" s="12" t="n">
        <v>65</v>
      </c>
    </row>
    <row r="540">
      <c r="A540" s="12" t="inlineStr">
        <is>
          <t>USR-100539</t>
        </is>
      </c>
      <c r="B540" s="29" t="n">
        <v>45668</v>
      </c>
      <c r="C540" s="12" t="inlineStr">
        <is>
          <t>Control</t>
        </is>
      </c>
      <c r="D540" s="12" t="inlineStr">
        <is>
          <t>West</t>
        </is>
      </c>
      <c r="E540" s="12" t="inlineStr">
        <is>
          <t>Mobile</t>
        </is>
      </c>
      <c r="F540" s="12" t="inlineStr">
        <is>
          <t>Paid Search</t>
        </is>
      </c>
      <c r="G540" s="12" t="inlineStr">
        <is>
          <t>Premium</t>
        </is>
      </c>
      <c r="H540" s="12" t="n">
        <v>1</v>
      </c>
      <c r="I540" s="12" t="n">
        <v>1</v>
      </c>
      <c r="J540" s="12" t="n">
        <v>1</v>
      </c>
      <c r="K540" s="12" t="n">
        <v>0</v>
      </c>
      <c r="L540" s="12" t="n">
        <v>0</v>
      </c>
      <c r="M540" s="12" t="n">
        <v>1</v>
      </c>
      <c r="N540" s="12" t="n">
        <v>0</v>
      </c>
      <c r="O540" s="12" t="n"/>
      <c r="P540" s="12" t="n">
        <v>42.1</v>
      </c>
    </row>
    <row r="541">
      <c r="A541" s="12" t="inlineStr">
        <is>
          <t>USR-100540</t>
        </is>
      </c>
      <c r="B541" s="29" t="n">
        <v>45747</v>
      </c>
      <c r="C541" s="12" t="inlineStr">
        <is>
          <t>Control</t>
        </is>
      </c>
      <c r="D541" s="12" t="inlineStr">
        <is>
          <t>West</t>
        </is>
      </c>
      <c r="E541" s="12" t="inlineStr">
        <is>
          <t>Tablet</t>
        </is>
      </c>
      <c r="F541" s="12" t="inlineStr">
        <is>
          <t>Paid Search</t>
        </is>
      </c>
      <c r="G541" s="12" t="inlineStr">
        <is>
          <t>Free</t>
        </is>
      </c>
      <c r="H541" s="12" t="n">
        <v>1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/>
      <c r="P541" s="12" t="n">
        <v>43.4</v>
      </c>
    </row>
    <row r="542">
      <c r="A542" s="12" t="inlineStr">
        <is>
          <t>USR-100541</t>
        </is>
      </c>
      <c r="B542" s="29" t="n">
        <v>45799</v>
      </c>
      <c r="C542" s="12" t="inlineStr">
        <is>
          <t>Control</t>
        </is>
      </c>
      <c r="D542" s="12" t="inlineStr">
        <is>
          <t>North</t>
        </is>
      </c>
      <c r="E542" s="12" t="inlineStr">
        <is>
          <t>Mobile</t>
        </is>
      </c>
      <c r="F542" s="12" t="inlineStr">
        <is>
          <t>Paid Search</t>
        </is>
      </c>
      <c r="G542" s="12" t="inlineStr">
        <is>
          <t>Basic</t>
        </is>
      </c>
      <c r="H542" s="12" t="n">
        <v>1</v>
      </c>
      <c r="I542" s="12" t="n">
        <v>1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/>
      <c r="P542" s="12" t="n">
        <v>39.9</v>
      </c>
    </row>
    <row r="543">
      <c r="A543" s="12" t="inlineStr">
        <is>
          <t>USR-100542</t>
        </is>
      </c>
      <c r="B543" s="29" t="n">
        <v>45793</v>
      </c>
      <c r="C543" s="12" t="inlineStr">
        <is>
          <t>Control</t>
        </is>
      </c>
      <c r="D543" s="12" t="inlineStr">
        <is>
          <t>North</t>
        </is>
      </c>
      <c r="E543" s="12" t="inlineStr">
        <is>
          <t>Mobile</t>
        </is>
      </c>
      <c r="F543" s="12" t="inlineStr">
        <is>
          <t>Referral</t>
        </is>
      </c>
      <c r="G543" s="12" t="inlineStr">
        <is>
          <t>Basic</t>
        </is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/>
      <c r="P543" s="12" t="n">
        <v>74.09999999999999</v>
      </c>
    </row>
    <row r="544">
      <c r="A544" s="12" t="inlineStr">
        <is>
          <t>USR-100543</t>
        </is>
      </c>
      <c r="B544" s="29" t="n">
        <v>45772</v>
      </c>
      <c r="C544" s="12" t="inlineStr">
        <is>
          <t>Control</t>
        </is>
      </c>
      <c r="D544" s="12" t="inlineStr">
        <is>
          <t>East</t>
        </is>
      </c>
      <c r="E544" s="12" t="inlineStr">
        <is>
          <t>Desktop</t>
        </is>
      </c>
      <c r="F544" s="12" t="inlineStr">
        <is>
          <t>Paid Search</t>
        </is>
      </c>
      <c r="G544" s="12" t="inlineStr">
        <is>
          <t>Free</t>
        </is>
      </c>
      <c r="H544" s="12" t="n">
        <v>1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/>
      <c r="P544" s="12" t="n">
        <v>61.4</v>
      </c>
    </row>
    <row r="545">
      <c r="A545" s="12" t="inlineStr">
        <is>
          <t>USR-100544</t>
        </is>
      </c>
      <c r="B545" s="29" t="n">
        <v>45764</v>
      </c>
      <c r="C545" s="12" t="inlineStr">
        <is>
          <t>Control</t>
        </is>
      </c>
      <c r="D545" s="12" t="inlineStr">
        <is>
          <t>East</t>
        </is>
      </c>
      <c r="E545" s="12" t="inlineStr">
        <is>
          <t>Mobile</t>
        </is>
      </c>
      <c r="F545" s="12" t="inlineStr">
        <is>
          <t>Social</t>
        </is>
      </c>
      <c r="G545" s="12" t="inlineStr">
        <is>
          <t>Premium</t>
        </is>
      </c>
      <c r="H545" s="12" t="n">
        <v>1</v>
      </c>
      <c r="I545" s="12" t="n">
        <v>1</v>
      </c>
      <c r="J545" s="12" t="n">
        <v>1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/>
      <c r="P545" s="12" t="n">
        <v>76.8</v>
      </c>
    </row>
    <row r="546">
      <c r="A546" s="12" t="inlineStr">
        <is>
          <t>USR-100545</t>
        </is>
      </c>
      <c r="B546" s="29" t="n">
        <v>45658</v>
      </c>
      <c r="C546" s="12" t="inlineStr">
        <is>
          <t>Control</t>
        </is>
      </c>
      <c r="D546" s="12" t="inlineStr">
        <is>
          <t>South</t>
        </is>
      </c>
      <c r="E546" s="12" t="inlineStr">
        <is>
          <t>Desktop</t>
        </is>
      </c>
      <c r="F546" s="12" t="inlineStr">
        <is>
          <t>Social</t>
        </is>
      </c>
      <c r="G546" s="12" t="inlineStr">
        <is>
          <t>Basic</t>
        </is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/>
      <c r="P546" s="12" t="n"/>
    </row>
    <row r="547">
      <c r="A547" s="12" t="inlineStr">
        <is>
          <t>USR-100546</t>
        </is>
      </c>
      <c r="B547" s="29" t="n">
        <v>45734</v>
      </c>
      <c r="C547" s="12" t="inlineStr">
        <is>
          <t>Control</t>
        </is>
      </c>
      <c r="D547" s="12" t="inlineStr">
        <is>
          <t>East</t>
        </is>
      </c>
      <c r="E547" s="12" t="inlineStr">
        <is>
          <t>Mobile</t>
        </is>
      </c>
      <c r="F547" s="12" t="inlineStr">
        <is>
          <t>Paid Search</t>
        </is>
      </c>
      <c r="G547" s="12" t="inlineStr">
        <is>
          <t>Basic</t>
        </is>
      </c>
      <c r="H547" s="12" t="n">
        <v>1</v>
      </c>
      <c r="I547" s="12" t="n">
        <v>1</v>
      </c>
      <c r="J547" s="12" t="n">
        <v>1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/>
      <c r="P547" s="12" t="n">
        <v>45.3</v>
      </c>
    </row>
    <row r="548">
      <c r="A548" s="12" t="inlineStr">
        <is>
          <t>USR-100547</t>
        </is>
      </c>
      <c r="B548" s="29" t="n">
        <v>45797</v>
      </c>
      <c r="C548" s="12" t="inlineStr">
        <is>
          <t>Control</t>
        </is>
      </c>
      <c r="D548" s="12" t="inlineStr">
        <is>
          <t>North</t>
        </is>
      </c>
      <c r="E548" s="12" t="inlineStr">
        <is>
          <t>Tablet</t>
        </is>
      </c>
      <c r="F548" s="12" t="inlineStr">
        <is>
          <t>Paid Search</t>
        </is>
      </c>
      <c r="G548" s="12" t="inlineStr">
        <is>
          <t>Free</t>
        </is>
      </c>
      <c r="H548" s="12" t="n">
        <v>1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/>
      <c r="P548" s="12" t="n">
        <v>41.4</v>
      </c>
    </row>
    <row r="549">
      <c r="A549" s="12" t="inlineStr">
        <is>
          <t>USR-100548</t>
        </is>
      </c>
      <c r="B549" s="29" t="n">
        <v>45732</v>
      </c>
      <c r="C549" s="12" t="inlineStr">
        <is>
          <t>Control</t>
        </is>
      </c>
      <c r="D549" s="12" t="inlineStr">
        <is>
          <t>North</t>
        </is>
      </c>
      <c r="E549" s="12" t="inlineStr">
        <is>
          <t>Mobile</t>
        </is>
      </c>
      <c r="F549" s="12" t="inlineStr">
        <is>
          <t>Organic</t>
        </is>
      </c>
      <c r="G549" s="12" t="inlineStr">
        <is>
          <t>Basic</t>
        </is>
      </c>
      <c r="H549" s="12" t="n">
        <v>1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/>
      <c r="P549" s="12" t="n">
        <v>37.1</v>
      </c>
    </row>
    <row r="550">
      <c r="A550" s="12" t="inlineStr">
        <is>
          <t>USR-100549</t>
        </is>
      </c>
      <c r="B550" s="29" t="n">
        <v>45807</v>
      </c>
      <c r="C550" s="12" t="inlineStr">
        <is>
          <t>Control</t>
        </is>
      </c>
      <c r="D550" s="12" t="inlineStr">
        <is>
          <t>East</t>
        </is>
      </c>
      <c r="E550" s="12" t="inlineStr">
        <is>
          <t>Desktop</t>
        </is>
      </c>
      <c r="F550" s="12" t="inlineStr">
        <is>
          <t>Social</t>
        </is>
      </c>
      <c r="G550" s="12" t="inlineStr">
        <is>
          <t>Free</t>
        </is>
      </c>
      <c r="H550" s="12" t="n">
        <v>1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/>
      <c r="P550" s="12" t="n">
        <v>40.7</v>
      </c>
    </row>
    <row r="551">
      <c r="A551" s="12" t="inlineStr">
        <is>
          <t>USR-100550</t>
        </is>
      </c>
      <c r="B551" s="29" t="n">
        <v>45708</v>
      </c>
      <c r="C551" s="12" t="inlineStr">
        <is>
          <t>Control</t>
        </is>
      </c>
      <c r="D551" s="12" t="inlineStr">
        <is>
          <t>North</t>
        </is>
      </c>
      <c r="E551" s="12" t="inlineStr">
        <is>
          <t>Mobile</t>
        </is>
      </c>
      <c r="F551" s="12" t="inlineStr">
        <is>
          <t>Social</t>
        </is>
      </c>
      <c r="G551" s="12" t="inlineStr">
        <is>
          <t>Premium</t>
        </is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2</v>
      </c>
      <c r="N551" s="12" t="n">
        <v>0</v>
      </c>
      <c r="O551" s="12" t="n"/>
      <c r="P551" s="12" t="n">
        <v>55.9</v>
      </c>
    </row>
    <row r="552">
      <c r="A552" s="12" t="inlineStr">
        <is>
          <t>USR-100551</t>
        </is>
      </c>
      <c r="B552" s="29" t="n">
        <v>45699</v>
      </c>
      <c r="C552" s="12" t="inlineStr">
        <is>
          <t>Control</t>
        </is>
      </c>
      <c r="D552" s="12" t="inlineStr">
        <is>
          <t>East</t>
        </is>
      </c>
      <c r="E552" s="12" t="n"/>
      <c r="F552" s="12" t="inlineStr">
        <is>
          <t>Social</t>
        </is>
      </c>
      <c r="G552" s="12" t="inlineStr">
        <is>
          <t>Free</t>
        </is>
      </c>
      <c r="H552" s="12" t="n">
        <v>1</v>
      </c>
      <c r="I552" s="12" t="n">
        <v>1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/>
      <c r="P552" s="12" t="n">
        <v>55.8</v>
      </c>
    </row>
    <row r="553">
      <c r="A553" s="12" t="inlineStr">
        <is>
          <t>USR-100552</t>
        </is>
      </c>
      <c r="B553" s="29" t="n">
        <v>45659</v>
      </c>
      <c r="C553" s="12" t="inlineStr">
        <is>
          <t>Control</t>
        </is>
      </c>
      <c r="D553" s="12" t="inlineStr">
        <is>
          <t>South</t>
        </is>
      </c>
      <c r="E553" s="12" t="inlineStr">
        <is>
          <t>Tablet</t>
        </is>
      </c>
      <c r="F553" s="12" t="inlineStr">
        <is>
          <t>Referral</t>
        </is>
      </c>
      <c r="G553" s="12" t="inlineStr">
        <is>
          <t>Basic</t>
        </is>
      </c>
      <c r="H553" s="12" t="n">
        <v>1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/>
      <c r="P553" s="12" t="n">
        <v>64.3</v>
      </c>
    </row>
    <row r="554">
      <c r="A554" s="12" t="inlineStr">
        <is>
          <t>USR-100553</t>
        </is>
      </c>
      <c r="B554" s="29" t="n">
        <v>45780</v>
      </c>
      <c r="C554" s="12" t="inlineStr">
        <is>
          <t>Control</t>
        </is>
      </c>
      <c r="D554" s="12" t="inlineStr">
        <is>
          <t>North</t>
        </is>
      </c>
      <c r="E554" s="12" t="inlineStr">
        <is>
          <t>Mobile</t>
        </is>
      </c>
      <c r="F554" s="12" t="inlineStr">
        <is>
          <t>Organic</t>
        </is>
      </c>
      <c r="G554" s="12" t="inlineStr">
        <is>
          <t>Free</t>
        </is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/>
      <c r="P554" s="12" t="n">
        <v>65.40000000000001</v>
      </c>
    </row>
    <row r="555">
      <c r="A555" s="12" t="inlineStr">
        <is>
          <t>USR-100554</t>
        </is>
      </c>
      <c r="B555" s="29" t="n">
        <v>45712</v>
      </c>
      <c r="C555" s="12" t="inlineStr">
        <is>
          <t>Control</t>
        </is>
      </c>
      <c r="D555" s="12" t="inlineStr">
        <is>
          <t>West</t>
        </is>
      </c>
      <c r="E555" s="12" t="inlineStr">
        <is>
          <t>Mobile</t>
        </is>
      </c>
      <c r="F555" s="12" t="inlineStr">
        <is>
          <t>Organic</t>
        </is>
      </c>
      <c r="G555" s="12" t="inlineStr">
        <is>
          <t>Free</t>
        </is>
      </c>
      <c r="H555" s="12" t="n">
        <v>1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/>
      <c r="P555" s="12" t="n">
        <v>89.8</v>
      </c>
    </row>
    <row r="556">
      <c r="A556" s="12" t="inlineStr">
        <is>
          <t>USR-100555</t>
        </is>
      </c>
      <c r="B556" s="29" t="n">
        <v>45699</v>
      </c>
      <c r="C556" s="12" t="inlineStr">
        <is>
          <t>Control</t>
        </is>
      </c>
      <c r="D556" s="12" t="inlineStr">
        <is>
          <t>South</t>
        </is>
      </c>
      <c r="E556" s="12" t="n"/>
      <c r="F556" s="12" t="inlineStr">
        <is>
          <t>Organic</t>
        </is>
      </c>
      <c r="G556" s="12" t="inlineStr">
        <is>
          <t>Free</t>
        </is>
      </c>
      <c r="H556" s="12" t="n">
        <v>1</v>
      </c>
      <c r="I556" s="12" t="n">
        <v>1</v>
      </c>
      <c r="J556" s="12" t="n">
        <v>1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/>
      <c r="P556" s="12" t="n">
        <v>58.3</v>
      </c>
    </row>
    <row r="557">
      <c r="A557" s="12" t="inlineStr">
        <is>
          <t>USR-100556</t>
        </is>
      </c>
      <c r="B557" s="29" t="n">
        <v>45783</v>
      </c>
      <c r="C557" s="12" t="inlineStr">
        <is>
          <t>Control</t>
        </is>
      </c>
      <c r="D557" s="12" t="inlineStr">
        <is>
          <t>South</t>
        </is>
      </c>
      <c r="E557" s="12" t="inlineStr">
        <is>
          <t>Mobile</t>
        </is>
      </c>
      <c r="F557" s="12" t="inlineStr">
        <is>
          <t>Social</t>
        </is>
      </c>
      <c r="G557" s="12" t="inlineStr">
        <is>
          <t>Basic</t>
        </is>
      </c>
      <c r="H557" s="12" t="n">
        <v>1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/>
      <c r="P557" s="12" t="n">
        <v>64.40000000000001</v>
      </c>
    </row>
    <row r="558">
      <c r="A558" s="12" t="inlineStr">
        <is>
          <t>USR-100557</t>
        </is>
      </c>
      <c r="B558" s="29" t="n">
        <v>45800</v>
      </c>
      <c r="C558" s="12" t="inlineStr">
        <is>
          <t>Control</t>
        </is>
      </c>
      <c r="D558" s="12" t="inlineStr">
        <is>
          <t>North</t>
        </is>
      </c>
      <c r="E558" s="12" t="inlineStr">
        <is>
          <t>Mobile</t>
        </is>
      </c>
      <c r="F558" s="12" t="inlineStr">
        <is>
          <t>Paid Search</t>
        </is>
      </c>
      <c r="G558" s="12" t="inlineStr">
        <is>
          <t>Premium</t>
        </is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/>
      <c r="P558" s="12" t="n">
        <v>46.2</v>
      </c>
    </row>
    <row r="559">
      <c r="A559" s="12" t="inlineStr">
        <is>
          <t>USR-100558</t>
        </is>
      </c>
      <c r="B559" s="29" t="n">
        <v>45666</v>
      </c>
      <c r="C559" s="12" t="inlineStr">
        <is>
          <t>Control</t>
        </is>
      </c>
      <c r="D559" s="12" t="inlineStr">
        <is>
          <t>North</t>
        </is>
      </c>
      <c r="E559" s="12" t="inlineStr">
        <is>
          <t>Desktop</t>
        </is>
      </c>
      <c r="F559" s="12" t="inlineStr">
        <is>
          <t>Paid Search</t>
        </is>
      </c>
      <c r="G559" s="12" t="inlineStr">
        <is>
          <t>Free</t>
        </is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/>
      <c r="P559" s="12" t="n">
        <v>78</v>
      </c>
    </row>
    <row r="560">
      <c r="A560" s="12" t="inlineStr">
        <is>
          <t>USR-100559</t>
        </is>
      </c>
      <c r="B560" s="29" t="n">
        <v>45748</v>
      </c>
      <c r="C560" s="12" t="inlineStr">
        <is>
          <t>Control</t>
        </is>
      </c>
      <c r="D560" s="12" t="inlineStr">
        <is>
          <t>North</t>
        </is>
      </c>
      <c r="E560" s="12" t="inlineStr">
        <is>
          <t>Desktop</t>
        </is>
      </c>
      <c r="F560" s="12" t="inlineStr">
        <is>
          <t>Organic</t>
        </is>
      </c>
      <c r="G560" s="12" t="inlineStr">
        <is>
          <t>Premium</t>
        </is>
      </c>
      <c r="H560" s="12" t="n">
        <v>1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/>
      <c r="P560" s="12" t="n">
        <v>62.3</v>
      </c>
    </row>
    <row r="561">
      <c r="A561" s="12" t="inlineStr">
        <is>
          <t>USR-100560</t>
        </is>
      </c>
      <c r="B561" s="29" t="n">
        <v>45724</v>
      </c>
      <c r="C561" s="12" t="inlineStr">
        <is>
          <t>Control</t>
        </is>
      </c>
      <c r="D561" s="12" t="inlineStr">
        <is>
          <t>North</t>
        </is>
      </c>
      <c r="E561" s="12" t="inlineStr">
        <is>
          <t>Mobile</t>
        </is>
      </c>
      <c r="F561" s="12" t="inlineStr">
        <is>
          <t>Organic</t>
        </is>
      </c>
      <c r="G561" s="12" t="inlineStr">
        <is>
          <t>Free</t>
        </is>
      </c>
      <c r="H561" s="12" t="n">
        <v>1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/>
      <c r="P561" s="12" t="n">
        <v>78.8</v>
      </c>
    </row>
    <row r="562">
      <c r="A562" s="12" t="inlineStr">
        <is>
          <t>USR-100561</t>
        </is>
      </c>
      <c r="B562" s="29" t="n">
        <v>45708</v>
      </c>
      <c r="C562" s="12" t="inlineStr">
        <is>
          <t>Control</t>
        </is>
      </c>
      <c r="D562" s="12" t="inlineStr">
        <is>
          <t>North</t>
        </is>
      </c>
      <c r="E562" s="12" t="inlineStr">
        <is>
          <t>Mobile</t>
        </is>
      </c>
      <c r="F562" s="12" t="inlineStr">
        <is>
          <t>Social</t>
        </is>
      </c>
      <c r="G562" s="12" t="inlineStr">
        <is>
          <t>Basic</t>
        </is>
      </c>
      <c r="H562" s="12" t="n">
        <v>1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/>
      <c r="P562" s="12" t="n">
        <v>25</v>
      </c>
    </row>
    <row r="563">
      <c r="A563" s="12" t="inlineStr">
        <is>
          <t>USR-100562</t>
        </is>
      </c>
      <c r="B563" s="29" t="n">
        <v>45746</v>
      </c>
      <c r="C563" s="12" t="inlineStr">
        <is>
          <t>Control</t>
        </is>
      </c>
      <c r="D563" s="12" t="inlineStr">
        <is>
          <t>East</t>
        </is>
      </c>
      <c r="E563" s="12" t="inlineStr">
        <is>
          <t>Mobile</t>
        </is>
      </c>
      <c r="F563" s="12" t="inlineStr">
        <is>
          <t>Social</t>
        </is>
      </c>
      <c r="G563" s="12" t="inlineStr">
        <is>
          <t>Basic</t>
        </is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/>
      <c r="P563" s="12" t="n">
        <v>53.4</v>
      </c>
    </row>
    <row r="564">
      <c r="A564" s="12" t="inlineStr">
        <is>
          <t>USR-100563</t>
        </is>
      </c>
      <c r="B564" s="29" t="n">
        <v>45757</v>
      </c>
      <c r="C564" s="12" t="inlineStr">
        <is>
          <t>Control</t>
        </is>
      </c>
      <c r="D564" s="12" t="inlineStr">
        <is>
          <t>East</t>
        </is>
      </c>
      <c r="E564" s="12" t="inlineStr">
        <is>
          <t>Desktop</t>
        </is>
      </c>
      <c r="F564" s="12" t="inlineStr">
        <is>
          <t>Organic</t>
        </is>
      </c>
      <c r="G564" s="12" t="inlineStr">
        <is>
          <t>Basic</t>
        </is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/>
      <c r="P564" s="12" t="n">
        <v>40.7</v>
      </c>
    </row>
    <row r="565">
      <c r="A565" s="12" t="inlineStr">
        <is>
          <t>USR-100564</t>
        </is>
      </c>
      <c r="B565" s="29" t="n">
        <v>45740</v>
      </c>
      <c r="C565" s="12" t="inlineStr">
        <is>
          <t>Control</t>
        </is>
      </c>
      <c r="D565" s="12" t="inlineStr">
        <is>
          <t>East</t>
        </is>
      </c>
      <c r="E565" s="12" t="inlineStr">
        <is>
          <t>Mobile</t>
        </is>
      </c>
      <c r="F565" s="12" t="inlineStr">
        <is>
          <t>Organic</t>
        </is>
      </c>
      <c r="G565" s="12" t="inlineStr">
        <is>
          <t>Premium</t>
        </is>
      </c>
      <c r="H565" s="12" t="n">
        <v>1</v>
      </c>
      <c r="I565" s="12" t="n">
        <v>1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/>
      <c r="P565" s="12" t="n">
        <v>36.7</v>
      </c>
    </row>
    <row r="566">
      <c r="A566" s="12" t="inlineStr">
        <is>
          <t>USR-100565</t>
        </is>
      </c>
      <c r="B566" s="29" t="n">
        <v>45798</v>
      </c>
      <c r="C566" s="12" t="inlineStr">
        <is>
          <t>Control</t>
        </is>
      </c>
      <c r="D566" s="12" t="inlineStr">
        <is>
          <t>West</t>
        </is>
      </c>
      <c r="E566" s="12" t="inlineStr">
        <is>
          <t>Mobile</t>
        </is>
      </c>
      <c r="F566" s="12" t="inlineStr">
        <is>
          <t>Organic</t>
        </is>
      </c>
      <c r="G566" s="12" t="inlineStr">
        <is>
          <t>Basic</t>
        </is>
      </c>
      <c r="H566" s="12" t="n">
        <v>1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1</v>
      </c>
      <c r="N566" s="12" t="n">
        <v>0</v>
      </c>
      <c r="O566" s="12" t="n"/>
      <c r="P566" s="12" t="n">
        <v>67.5</v>
      </c>
    </row>
    <row r="567">
      <c r="A567" s="12" t="inlineStr">
        <is>
          <t>USR-100566</t>
        </is>
      </c>
      <c r="B567" s="29" t="n">
        <v>45745</v>
      </c>
      <c r="C567" s="12" t="inlineStr">
        <is>
          <t>Control</t>
        </is>
      </c>
      <c r="D567" s="12" t="inlineStr">
        <is>
          <t>East</t>
        </is>
      </c>
      <c r="E567" s="12" t="inlineStr">
        <is>
          <t>Mobile</t>
        </is>
      </c>
      <c r="F567" s="12" t="inlineStr">
        <is>
          <t>Social</t>
        </is>
      </c>
      <c r="G567" s="12" t="inlineStr">
        <is>
          <t>Premium</t>
        </is>
      </c>
      <c r="H567" s="12" t="n">
        <v>1</v>
      </c>
      <c r="I567" s="12" t="n">
        <v>1</v>
      </c>
      <c r="J567" s="12" t="n">
        <v>1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/>
      <c r="P567" s="12" t="n">
        <v>69.90000000000001</v>
      </c>
    </row>
    <row r="568">
      <c r="A568" s="12" t="inlineStr">
        <is>
          <t>USR-100567</t>
        </is>
      </c>
      <c r="B568" s="29" t="n">
        <v>45711</v>
      </c>
      <c r="C568" s="12" t="inlineStr">
        <is>
          <t>Control</t>
        </is>
      </c>
      <c r="D568" s="12" t="inlineStr">
        <is>
          <t>North</t>
        </is>
      </c>
      <c r="E568" s="12" t="inlineStr">
        <is>
          <t>Tablet</t>
        </is>
      </c>
      <c r="F568" s="12" t="inlineStr">
        <is>
          <t>Referral</t>
        </is>
      </c>
      <c r="G568" s="12" t="inlineStr">
        <is>
          <t>Basic</t>
        </is>
      </c>
      <c r="H568" s="12" t="n">
        <v>1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/>
      <c r="P568" s="12" t="n">
        <v>65.09999999999999</v>
      </c>
    </row>
    <row r="569">
      <c r="A569" s="12" t="inlineStr">
        <is>
          <t>USR-100568</t>
        </is>
      </c>
      <c r="B569" s="29" t="n">
        <v>45704</v>
      </c>
      <c r="C569" s="12" t="inlineStr">
        <is>
          <t>Control</t>
        </is>
      </c>
      <c r="D569" s="12" t="inlineStr">
        <is>
          <t>West</t>
        </is>
      </c>
      <c r="E569" s="12" t="inlineStr">
        <is>
          <t>Mobile</t>
        </is>
      </c>
      <c r="F569" s="12" t="inlineStr">
        <is>
          <t>Paid Search</t>
        </is>
      </c>
      <c r="G569" s="12" t="inlineStr">
        <is>
          <t>Premium</t>
        </is>
      </c>
      <c r="H569" s="12" t="n">
        <v>1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/>
      <c r="P569" s="12" t="n">
        <v>48.7</v>
      </c>
    </row>
    <row r="570">
      <c r="A570" s="12" t="inlineStr">
        <is>
          <t>USR-100569</t>
        </is>
      </c>
      <c r="B570" s="29" t="n">
        <v>45709</v>
      </c>
      <c r="C570" s="12" t="inlineStr">
        <is>
          <t>Control</t>
        </is>
      </c>
      <c r="D570" s="12" t="inlineStr">
        <is>
          <t>West</t>
        </is>
      </c>
      <c r="E570" s="12" t="inlineStr">
        <is>
          <t>Desktop</t>
        </is>
      </c>
      <c r="F570" s="12" t="inlineStr">
        <is>
          <t>Organic</t>
        </is>
      </c>
      <c r="G570" s="12" t="inlineStr">
        <is>
          <t>Basic</t>
        </is>
      </c>
      <c r="H570" s="12" t="n">
        <v>1</v>
      </c>
      <c r="I570" s="12" t="n">
        <v>1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/>
      <c r="P570" s="12" t="n">
        <v>47.2</v>
      </c>
    </row>
    <row r="571">
      <c r="A571" s="12" t="inlineStr">
        <is>
          <t>USR-100570</t>
        </is>
      </c>
      <c r="B571" s="29" t="n">
        <v>45664</v>
      </c>
      <c r="C571" s="12" t="inlineStr">
        <is>
          <t>Control</t>
        </is>
      </c>
      <c r="D571" s="12" t="inlineStr">
        <is>
          <t>North</t>
        </is>
      </c>
      <c r="E571" s="12" t="inlineStr">
        <is>
          <t>Mobile</t>
        </is>
      </c>
      <c r="F571" s="12" t="inlineStr">
        <is>
          <t>Referral</t>
        </is>
      </c>
      <c r="G571" s="12" t="inlineStr">
        <is>
          <t>Free</t>
        </is>
      </c>
      <c r="H571" s="12" t="n">
        <v>1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2</v>
      </c>
      <c r="N571" s="12" t="n">
        <v>0</v>
      </c>
      <c r="O571" s="12" t="n"/>
      <c r="P571" s="12" t="n">
        <v>20.3</v>
      </c>
    </row>
    <row r="572">
      <c r="A572" s="12" t="inlineStr">
        <is>
          <t>USR-100571</t>
        </is>
      </c>
      <c r="B572" s="29" t="n">
        <v>45722</v>
      </c>
      <c r="C572" s="12" t="inlineStr">
        <is>
          <t>Control</t>
        </is>
      </c>
      <c r="D572" s="12" t="inlineStr">
        <is>
          <t>West</t>
        </is>
      </c>
      <c r="E572" s="12" t="inlineStr">
        <is>
          <t>Mobile</t>
        </is>
      </c>
      <c r="F572" s="12" t="inlineStr">
        <is>
          <t>Paid Search</t>
        </is>
      </c>
      <c r="G572" s="12" t="inlineStr">
        <is>
          <t>Free</t>
        </is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1</v>
      </c>
      <c r="N572" s="12" t="n">
        <v>0</v>
      </c>
      <c r="O572" s="12" t="n"/>
      <c r="P572" s="12" t="n">
        <v>57.8</v>
      </c>
    </row>
    <row r="573">
      <c r="A573" s="12" t="inlineStr">
        <is>
          <t>USR-100572</t>
        </is>
      </c>
      <c r="B573" s="29" t="n">
        <v>45746</v>
      </c>
      <c r="C573" s="12" t="inlineStr">
        <is>
          <t>Control</t>
        </is>
      </c>
      <c r="D573" s="12" t="inlineStr">
        <is>
          <t>East</t>
        </is>
      </c>
      <c r="E573" s="12" t="inlineStr">
        <is>
          <t>Mobile</t>
        </is>
      </c>
      <c r="F573" s="12" t="inlineStr">
        <is>
          <t>Email</t>
        </is>
      </c>
      <c r="G573" s="12" t="inlineStr">
        <is>
          <t>Basic</t>
        </is>
      </c>
      <c r="H573" s="12" t="n">
        <v>1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/>
      <c r="P573" s="12" t="n">
        <v>78.7</v>
      </c>
    </row>
    <row r="574">
      <c r="A574" s="12" t="inlineStr">
        <is>
          <t>USR-100573</t>
        </is>
      </c>
      <c r="B574" s="29" t="n">
        <v>45808</v>
      </c>
      <c r="C574" s="12" t="inlineStr">
        <is>
          <t>Control</t>
        </is>
      </c>
      <c r="D574" s="12" t="inlineStr">
        <is>
          <t>South</t>
        </is>
      </c>
      <c r="E574" s="12" t="inlineStr">
        <is>
          <t>Desktop</t>
        </is>
      </c>
      <c r="F574" s="12" t="inlineStr">
        <is>
          <t>Organic</t>
        </is>
      </c>
      <c r="G574" s="12" t="inlineStr">
        <is>
          <t>Free</t>
        </is>
      </c>
      <c r="H574" s="12" t="n">
        <v>1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/>
      <c r="P574" s="12" t="n">
        <v>63.6</v>
      </c>
    </row>
    <row r="575">
      <c r="A575" s="12" t="inlineStr">
        <is>
          <t>USR-100574</t>
        </is>
      </c>
      <c r="B575" s="29" t="n">
        <v>45708</v>
      </c>
      <c r="C575" s="12" t="inlineStr">
        <is>
          <t>Control</t>
        </is>
      </c>
      <c r="D575" s="12" t="inlineStr">
        <is>
          <t>South</t>
        </is>
      </c>
      <c r="E575" s="12" t="inlineStr">
        <is>
          <t>Mobile</t>
        </is>
      </c>
      <c r="F575" s="12" t="inlineStr">
        <is>
          <t>Email</t>
        </is>
      </c>
      <c r="G575" s="12" t="inlineStr">
        <is>
          <t>Free</t>
        </is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2</v>
      </c>
      <c r="N575" s="12" t="n">
        <v>0</v>
      </c>
      <c r="O575" s="12" t="n"/>
      <c r="P575" s="12" t="n">
        <v>45.1</v>
      </c>
    </row>
    <row r="576">
      <c r="A576" s="12" t="inlineStr">
        <is>
          <t>USR-100575</t>
        </is>
      </c>
      <c r="B576" s="29" t="n">
        <v>45670</v>
      </c>
      <c r="C576" s="12" t="inlineStr">
        <is>
          <t>Control</t>
        </is>
      </c>
      <c r="D576" s="12" t="inlineStr">
        <is>
          <t>West</t>
        </is>
      </c>
      <c r="E576" s="12" t="inlineStr">
        <is>
          <t>Mobile</t>
        </is>
      </c>
      <c r="F576" s="12" t="inlineStr">
        <is>
          <t>Social</t>
        </is>
      </c>
      <c r="G576" s="12" t="inlineStr">
        <is>
          <t>Free</t>
        </is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/>
      <c r="P576" s="12" t="n">
        <v>77.5</v>
      </c>
    </row>
    <row r="577">
      <c r="A577" s="12" t="inlineStr">
        <is>
          <t>USR-100576</t>
        </is>
      </c>
      <c r="B577" s="29" t="n">
        <v>45790</v>
      </c>
      <c r="C577" s="12" t="inlineStr">
        <is>
          <t>Control</t>
        </is>
      </c>
      <c r="D577" s="12" t="inlineStr">
        <is>
          <t>East</t>
        </is>
      </c>
      <c r="E577" s="12" t="inlineStr">
        <is>
          <t>Desktop</t>
        </is>
      </c>
      <c r="F577" s="12" t="inlineStr">
        <is>
          <t>Paid Search</t>
        </is>
      </c>
      <c r="G577" s="12" t="inlineStr">
        <is>
          <t>Basic</t>
        </is>
      </c>
      <c r="H577" s="12" t="n">
        <v>1</v>
      </c>
      <c r="I577" s="12" t="n">
        <v>1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/>
      <c r="P577" s="12" t="n">
        <v>58</v>
      </c>
    </row>
    <row r="578">
      <c r="A578" s="12" t="inlineStr">
        <is>
          <t>USR-100577</t>
        </is>
      </c>
      <c r="B578" s="29" t="n">
        <v>45768</v>
      </c>
      <c r="C578" s="12" t="inlineStr">
        <is>
          <t>Control</t>
        </is>
      </c>
      <c r="D578" s="12" t="inlineStr">
        <is>
          <t>South</t>
        </is>
      </c>
      <c r="E578" s="12" t="inlineStr">
        <is>
          <t>Tablet</t>
        </is>
      </c>
      <c r="F578" s="12" t="inlineStr">
        <is>
          <t>Organic</t>
        </is>
      </c>
      <c r="G578" s="12" t="inlineStr">
        <is>
          <t>Free</t>
        </is>
      </c>
      <c r="H578" s="12" t="n">
        <v>1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/>
      <c r="P578" s="12" t="n">
        <v>68.09999999999999</v>
      </c>
    </row>
    <row r="579">
      <c r="A579" s="12" t="inlineStr">
        <is>
          <t>USR-100578</t>
        </is>
      </c>
      <c r="B579" s="29" t="n">
        <v>45717</v>
      </c>
      <c r="C579" s="12" t="inlineStr">
        <is>
          <t>Control</t>
        </is>
      </c>
      <c r="D579" s="12" t="inlineStr">
        <is>
          <t>East</t>
        </is>
      </c>
      <c r="E579" s="12" t="inlineStr">
        <is>
          <t>Tablet</t>
        </is>
      </c>
      <c r="F579" s="12" t="inlineStr">
        <is>
          <t>Organic</t>
        </is>
      </c>
      <c r="G579" s="12" t="inlineStr">
        <is>
          <t>Premium</t>
        </is>
      </c>
      <c r="H579" s="12" t="n">
        <v>1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/>
      <c r="P579" s="12" t="n">
        <v>35.4</v>
      </c>
    </row>
    <row r="580">
      <c r="A580" s="12" t="inlineStr">
        <is>
          <t>USR-100579</t>
        </is>
      </c>
      <c r="B580" s="29" t="n">
        <v>45726</v>
      </c>
      <c r="C580" s="12" t="inlineStr">
        <is>
          <t>Control</t>
        </is>
      </c>
      <c r="D580" s="12" t="inlineStr">
        <is>
          <t>West</t>
        </is>
      </c>
      <c r="E580" s="12" t="inlineStr">
        <is>
          <t>Tablet</t>
        </is>
      </c>
      <c r="F580" s="12" t="inlineStr">
        <is>
          <t>Organic</t>
        </is>
      </c>
      <c r="G580" s="12" t="inlineStr">
        <is>
          <t>Free</t>
        </is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/>
      <c r="P580" s="12" t="n">
        <v>47</v>
      </c>
    </row>
    <row r="581">
      <c r="A581" s="12" t="inlineStr">
        <is>
          <t>USR-100580</t>
        </is>
      </c>
      <c r="B581" s="29" t="n">
        <v>45724</v>
      </c>
      <c r="C581" s="12" t="inlineStr">
        <is>
          <t>Control</t>
        </is>
      </c>
      <c r="D581" s="12" t="inlineStr">
        <is>
          <t>East</t>
        </is>
      </c>
      <c r="E581" s="12" t="inlineStr">
        <is>
          <t>Desktop</t>
        </is>
      </c>
      <c r="F581" s="12" t="inlineStr">
        <is>
          <t>Paid Search</t>
        </is>
      </c>
      <c r="G581" s="12" t="inlineStr">
        <is>
          <t>Free</t>
        </is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/>
      <c r="P581" s="12" t="n">
        <v>75</v>
      </c>
    </row>
    <row r="582">
      <c r="A582" s="12" t="inlineStr">
        <is>
          <t>USR-100581</t>
        </is>
      </c>
      <c r="B582" s="29" t="n">
        <v>45803</v>
      </c>
      <c r="C582" s="12" t="inlineStr">
        <is>
          <t>Control</t>
        </is>
      </c>
      <c r="D582" s="12" t="inlineStr">
        <is>
          <t>South</t>
        </is>
      </c>
      <c r="E582" s="12" t="inlineStr">
        <is>
          <t>Desktop</t>
        </is>
      </c>
      <c r="F582" s="12" t="inlineStr">
        <is>
          <t>Paid Search</t>
        </is>
      </c>
      <c r="G582" s="12" t="inlineStr">
        <is>
          <t>Free</t>
        </is>
      </c>
      <c r="H582" s="12" t="n">
        <v>1</v>
      </c>
      <c r="I582" s="12" t="n">
        <v>1</v>
      </c>
      <c r="J582" s="12" t="n">
        <v>1</v>
      </c>
      <c r="K582" s="12" t="n">
        <v>0</v>
      </c>
      <c r="L582" s="12" t="n">
        <v>0</v>
      </c>
      <c r="M582" s="12" t="n">
        <v>3</v>
      </c>
      <c r="N582" s="12" t="n">
        <v>0</v>
      </c>
      <c r="O582" s="12" t="n"/>
      <c r="P582" s="12" t="n">
        <v>50.2</v>
      </c>
    </row>
    <row r="583">
      <c r="A583" s="12" t="inlineStr">
        <is>
          <t>USR-100582</t>
        </is>
      </c>
      <c r="B583" s="29" t="n">
        <v>45797</v>
      </c>
      <c r="C583" s="12" t="inlineStr">
        <is>
          <t>Control</t>
        </is>
      </c>
      <c r="D583" s="12" t="inlineStr">
        <is>
          <t>East</t>
        </is>
      </c>
      <c r="E583" s="12" t="inlineStr">
        <is>
          <t>Desktop</t>
        </is>
      </c>
      <c r="F583" s="12" t="inlineStr">
        <is>
          <t>Paid Search</t>
        </is>
      </c>
      <c r="G583" s="12" t="inlineStr">
        <is>
          <t>Free</t>
        </is>
      </c>
      <c r="H583" s="12" t="n">
        <v>1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/>
      <c r="P583" s="12" t="n">
        <v>40.1</v>
      </c>
    </row>
    <row r="584">
      <c r="A584" s="12" t="inlineStr">
        <is>
          <t>USR-100583</t>
        </is>
      </c>
      <c r="B584" s="29" t="n">
        <v>45738</v>
      </c>
      <c r="C584" s="12" t="inlineStr">
        <is>
          <t>Control</t>
        </is>
      </c>
      <c r="D584" s="12" t="inlineStr">
        <is>
          <t>West</t>
        </is>
      </c>
      <c r="E584" s="12" t="inlineStr">
        <is>
          <t>Desktop</t>
        </is>
      </c>
      <c r="F584" s="12" t="inlineStr">
        <is>
          <t>Paid Search</t>
        </is>
      </c>
      <c r="G584" s="12" t="inlineStr">
        <is>
          <t>Free</t>
        </is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/>
      <c r="P584" s="12" t="n">
        <v>61.1</v>
      </c>
    </row>
    <row r="585">
      <c r="A585" s="12" t="inlineStr">
        <is>
          <t>USR-100584</t>
        </is>
      </c>
      <c r="B585" s="29" t="n">
        <v>45703</v>
      </c>
      <c r="C585" s="12" t="inlineStr">
        <is>
          <t>Control</t>
        </is>
      </c>
      <c r="D585" s="12" t="inlineStr">
        <is>
          <t>South</t>
        </is>
      </c>
      <c r="E585" s="12" t="inlineStr">
        <is>
          <t>Desktop</t>
        </is>
      </c>
      <c r="F585" s="12" t="inlineStr">
        <is>
          <t>Paid Search</t>
        </is>
      </c>
      <c r="G585" s="12" t="inlineStr">
        <is>
          <t>Free</t>
        </is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/>
      <c r="P585" s="12" t="n">
        <v>42.4</v>
      </c>
    </row>
    <row r="586">
      <c r="A586" s="12" t="inlineStr">
        <is>
          <t>USR-100585</t>
        </is>
      </c>
      <c r="B586" s="29" t="n">
        <v>45665</v>
      </c>
      <c r="C586" s="12" t="inlineStr">
        <is>
          <t>Control</t>
        </is>
      </c>
      <c r="D586" s="12" t="inlineStr">
        <is>
          <t>North</t>
        </is>
      </c>
      <c r="E586" s="12" t="inlineStr">
        <is>
          <t>Mobile</t>
        </is>
      </c>
      <c r="F586" s="12" t="inlineStr">
        <is>
          <t>Social</t>
        </is>
      </c>
      <c r="G586" s="12" t="inlineStr">
        <is>
          <t>Free</t>
        </is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1</v>
      </c>
      <c r="N586" s="12" t="n">
        <v>0</v>
      </c>
      <c r="O586" s="12" t="n"/>
      <c r="P586" s="12" t="n">
        <v>46.6</v>
      </c>
    </row>
    <row r="587">
      <c r="A587" s="12" t="inlineStr">
        <is>
          <t>USR-100586</t>
        </is>
      </c>
      <c r="B587" s="29" t="n">
        <v>45686</v>
      </c>
      <c r="C587" s="12" t="inlineStr">
        <is>
          <t>Control</t>
        </is>
      </c>
      <c r="D587" s="12" t="inlineStr">
        <is>
          <t>South</t>
        </is>
      </c>
      <c r="E587" s="12" t="inlineStr">
        <is>
          <t>Mobile</t>
        </is>
      </c>
      <c r="F587" s="12" t="inlineStr">
        <is>
          <t>Organic</t>
        </is>
      </c>
      <c r="G587" s="12" t="inlineStr">
        <is>
          <t>Premium</t>
        </is>
      </c>
      <c r="H587" s="12" t="n">
        <v>1</v>
      </c>
      <c r="I587" s="12" t="n">
        <v>1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/>
      <c r="P587" s="12" t="n">
        <v>72.09999999999999</v>
      </c>
    </row>
    <row r="588">
      <c r="A588" s="12" t="inlineStr">
        <is>
          <t>USR-100587</t>
        </is>
      </c>
      <c r="B588" s="29" t="n">
        <v>45784</v>
      </c>
      <c r="C588" s="12" t="inlineStr">
        <is>
          <t>Control</t>
        </is>
      </c>
      <c r="D588" s="12" t="inlineStr">
        <is>
          <t>East</t>
        </is>
      </c>
      <c r="E588" s="12" t="inlineStr">
        <is>
          <t>Tablet</t>
        </is>
      </c>
      <c r="F588" s="12" t="inlineStr">
        <is>
          <t>Organic</t>
        </is>
      </c>
      <c r="G588" s="12" t="inlineStr">
        <is>
          <t>Free</t>
        </is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/>
      <c r="P588" s="12" t="n">
        <v>21.5</v>
      </c>
    </row>
    <row r="589">
      <c r="A589" s="12" t="inlineStr">
        <is>
          <t>USR-100588</t>
        </is>
      </c>
      <c r="B589" s="29" t="n">
        <v>45717</v>
      </c>
      <c r="C589" s="12" t="inlineStr">
        <is>
          <t>Control</t>
        </is>
      </c>
      <c r="D589" s="12" t="inlineStr">
        <is>
          <t>North</t>
        </is>
      </c>
      <c r="E589" s="12" t="inlineStr">
        <is>
          <t>Mobile</t>
        </is>
      </c>
      <c r="F589" s="12" t="inlineStr">
        <is>
          <t>Social</t>
        </is>
      </c>
      <c r="G589" s="12" t="inlineStr">
        <is>
          <t>Basic</t>
        </is>
      </c>
      <c r="H589" s="12" t="n">
        <v>1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1</v>
      </c>
      <c r="N589" s="12" t="n">
        <v>0</v>
      </c>
      <c r="O589" s="12" t="n"/>
      <c r="P589" s="12" t="n">
        <v>65.40000000000001</v>
      </c>
    </row>
    <row r="590">
      <c r="A590" s="12" t="inlineStr">
        <is>
          <t>USR-100589</t>
        </is>
      </c>
      <c r="B590" s="29" t="n">
        <v>45767</v>
      </c>
      <c r="C590" s="12" t="inlineStr">
        <is>
          <t>Control</t>
        </is>
      </c>
      <c r="D590" s="12" t="inlineStr">
        <is>
          <t>East</t>
        </is>
      </c>
      <c r="E590" s="12" t="inlineStr">
        <is>
          <t>Mobile</t>
        </is>
      </c>
      <c r="F590" s="12" t="inlineStr">
        <is>
          <t>Organic</t>
        </is>
      </c>
      <c r="G590" s="12" t="inlineStr">
        <is>
          <t>Free</t>
        </is>
      </c>
      <c r="H590" s="12" t="n">
        <v>1</v>
      </c>
      <c r="I590" s="12" t="n">
        <v>1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/>
      <c r="P590" s="12" t="n">
        <v>53.3</v>
      </c>
    </row>
    <row r="591">
      <c r="A591" s="12" t="inlineStr">
        <is>
          <t>USR-100590</t>
        </is>
      </c>
      <c r="B591" s="29" t="n">
        <v>45673</v>
      </c>
      <c r="C591" s="12" t="inlineStr">
        <is>
          <t>Control</t>
        </is>
      </c>
      <c r="D591" s="12" t="inlineStr">
        <is>
          <t>East</t>
        </is>
      </c>
      <c r="E591" s="12" t="inlineStr">
        <is>
          <t>Mobile</t>
        </is>
      </c>
      <c r="F591" s="12" t="inlineStr">
        <is>
          <t>Organic</t>
        </is>
      </c>
      <c r="G591" s="12" t="inlineStr">
        <is>
          <t>Premium</t>
        </is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2</v>
      </c>
      <c r="N591" s="12" t="n">
        <v>0</v>
      </c>
      <c r="O591" s="12" t="n"/>
      <c r="P591" s="12" t="n">
        <v>52.3</v>
      </c>
    </row>
    <row r="592">
      <c r="A592" s="12" t="inlineStr">
        <is>
          <t>USR-100591</t>
        </is>
      </c>
      <c r="B592" s="29" t="n">
        <v>45751</v>
      </c>
      <c r="C592" s="12" t="inlineStr">
        <is>
          <t>Control</t>
        </is>
      </c>
      <c r="D592" s="12" t="inlineStr">
        <is>
          <t>East</t>
        </is>
      </c>
      <c r="E592" s="12" t="inlineStr">
        <is>
          <t>Mobile</t>
        </is>
      </c>
      <c r="F592" s="12" t="inlineStr">
        <is>
          <t>Paid Search</t>
        </is>
      </c>
      <c r="G592" s="12" t="inlineStr">
        <is>
          <t>Free</t>
        </is>
      </c>
      <c r="H592" s="12" t="n">
        <v>1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/>
      <c r="P592" s="12" t="n">
        <v>62.5</v>
      </c>
    </row>
    <row r="593">
      <c r="A593" s="12" t="inlineStr">
        <is>
          <t>USR-100592</t>
        </is>
      </c>
      <c r="B593" s="29" t="n">
        <v>45686</v>
      </c>
      <c r="C593" s="12" t="inlineStr">
        <is>
          <t>Control</t>
        </is>
      </c>
      <c r="D593" s="12" t="inlineStr">
        <is>
          <t>North</t>
        </is>
      </c>
      <c r="E593" s="12" t="inlineStr">
        <is>
          <t>Tablet</t>
        </is>
      </c>
      <c r="F593" s="12" t="inlineStr">
        <is>
          <t>Social</t>
        </is>
      </c>
      <c r="G593" s="12" t="inlineStr">
        <is>
          <t>Free</t>
        </is>
      </c>
      <c r="H593" s="12" t="n">
        <v>1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/>
      <c r="P593" s="12" t="n">
        <v>69.8</v>
      </c>
    </row>
    <row r="594">
      <c r="A594" s="12" t="inlineStr">
        <is>
          <t>USR-100593</t>
        </is>
      </c>
      <c r="B594" s="29" t="n">
        <v>45766</v>
      </c>
      <c r="C594" s="12" t="inlineStr">
        <is>
          <t>Control</t>
        </is>
      </c>
      <c r="D594" s="12" t="inlineStr">
        <is>
          <t>East</t>
        </is>
      </c>
      <c r="E594" s="12" t="inlineStr">
        <is>
          <t>Mobile</t>
        </is>
      </c>
      <c r="F594" s="12" t="inlineStr">
        <is>
          <t>Email</t>
        </is>
      </c>
      <c r="G594" s="12" t="inlineStr">
        <is>
          <t>Free</t>
        </is>
      </c>
      <c r="H594" s="12" t="n">
        <v>1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/>
      <c r="P594" s="12" t="n">
        <v>68.2</v>
      </c>
    </row>
    <row r="595">
      <c r="A595" s="12" t="inlineStr">
        <is>
          <t>USR-100594</t>
        </is>
      </c>
      <c r="B595" s="29" t="n">
        <v>45726</v>
      </c>
      <c r="C595" s="12" t="inlineStr">
        <is>
          <t>Control</t>
        </is>
      </c>
      <c r="D595" s="12" t="inlineStr">
        <is>
          <t>South</t>
        </is>
      </c>
      <c r="E595" s="12" t="inlineStr">
        <is>
          <t>Mobile</t>
        </is>
      </c>
      <c r="F595" s="12" t="inlineStr">
        <is>
          <t>Social</t>
        </is>
      </c>
      <c r="G595" s="12" t="inlineStr">
        <is>
          <t>Basic</t>
        </is>
      </c>
      <c r="H595" s="12" t="n">
        <v>1</v>
      </c>
      <c r="I595" s="12" t="n">
        <v>1</v>
      </c>
      <c r="J595" s="12" t="n">
        <v>1</v>
      </c>
      <c r="K595" s="12" t="n">
        <v>1</v>
      </c>
      <c r="L595" s="12" t="n">
        <v>751.73</v>
      </c>
      <c r="M595" s="12" t="n">
        <v>0</v>
      </c>
      <c r="N595" s="12" t="n">
        <v>0</v>
      </c>
      <c r="O595" s="12" t="n">
        <v>6</v>
      </c>
      <c r="P595" s="12" t="n">
        <v>35.2</v>
      </c>
    </row>
    <row r="596">
      <c r="A596" s="12" t="inlineStr">
        <is>
          <t>USR-100595</t>
        </is>
      </c>
      <c r="B596" s="29" t="n">
        <v>45787</v>
      </c>
      <c r="C596" s="12" t="inlineStr">
        <is>
          <t>Control</t>
        </is>
      </c>
      <c r="D596" s="12" t="inlineStr">
        <is>
          <t>South</t>
        </is>
      </c>
      <c r="E596" s="12" t="inlineStr">
        <is>
          <t>Mobile</t>
        </is>
      </c>
      <c r="F596" s="12" t="inlineStr">
        <is>
          <t>Social</t>
        </is>
      </c>
      <c r="G596" s="12" t="inlineStr">
        <is>
          <t>Basic</t>
        </is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/>
      <c r="P596" s="12" t="n">
        <v>59.3</v>
      </c>
    </row>
    <row r="597">
      <c r="A597" s="12" t="inlineStr">
        <is>
          <t>USR-100596</t>
        </is>
      </c>
      <c r="B597" s="29" t="n">
        <v>45690</v>
      </c>
      <c r="C597" s="12" t="inlineStr">
        <is>
          <t>Control</t>
        </is>
      </c>
      <c r="D597" s="12" t="inlineStr">
        <is>
          <t>North</t>
        </is>
      </c>
      <c r="E597" s="12" t="inlineStr">
        <is>
          <t>Mobile</t>
        </is>
      </c>
      <c r="F597" s="12" t="inlineStr">
        <is>
          <t>Social</t>
        </is>
      </c>
      <c r="G597" s="12" t="inlineStr">
        <is>
          <t>Free</t>
        </is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/>
      <c r="P597" s="12" t="n">
        <v>68.09999999999999</v>
      </c>
    </row>
    <row r="598">
      <c r="A598" s="12" t="inlineStr">
        <is>
          <t>USR-100597</t>
        </is>
      </c>
      <c r="B598" s="29" t="n">
        <v>45783</v>
      </c>
      <c r="C598" s="12" t="inlineStr">
        <is>
          <t>Control</t>
        </is>
      </c>
      <c r="D598" s="12" t="inlineStr">
        <is>
          <t>North</t>
        </is>
      </c>
      <c r="E598" s="12" t="inlineStr">
        <is>
          <t>Desktop</t>
        </is>
      </c>
      <c r="F598" s="12" t="inlineStr">
        <is>
          <t>Organic</t>
        </is>
      </c>
      <c r="G598" s="12" t="inlineStr">
        <is>
          <t>Free</t>
        </is>
      </c>
      <c r="H598" s="12" t="n">
        <v>1</v>
      </c>
      <c r="I598" s="12" t="n">
        <v>1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/>
      <c r="P598" s="12" t="n">
        <v>74.8</v>
      </c>
    </row>
    <row r="599">
      <c r="A599" s="12" t="inlineStr">
        <is>
          <t>USR-100598</t>
        </is>
      </c>
      <c r="B599" s="29" t="n">
        <v>45676</v>
      </c>
      <c r="C599" s="12" t="inlineStr">
        <is>
          <t>Control</t>
        </is>
      </c>
      <c r="D599" s="12" t="inlineStr">
        <is>
          <t>West</t>
        </is>
      </c>
      <c r="E599" s="12" t="inlineStr">
        <is>
          <t>Desktop</t>
        </is>
      </c>
      <c r="F599" s="12" t="inlineStr">
        <is>
          <t>Organic</t>
        </is>
      </c>
      <c r="G599" s="12" t="inlineStr">
        <is>
          <t>Free</t>
        </is>
      </c>
      <c r="H599" s="12" t="n">
        <v>1</v>
      </c>
      <c r="I599" s="12" t="n">
        <v>1</v>
      </c>
      <c r="J599" s="12" t="n">
        <v>1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/>
      <c r="P599" s="12" t="n">
        <v>61.7</v>
      </c>
    </row>
    <row r="600">
      <c r="A600" s="12" t="inlineStr">
        <is>
          <t>USR-100599</t>
        </is>
      </c>
      <c r="B600" s="29" t="n">
        <v>45659</v>
      </c>
      <c r="C600" s="12" t="inlineStr">
        <is>
          <t>Control</t>
        </is>
      </c>
      <c r="D600" s="12" t="inlineStr">
        <is>
          <t>North</t>
        </is>
      </c>
      <c r="E600" s="12" t="inlineStr">
        <is>
          <t>Mobile</t>
        </is>
      </c>
      <c r="F600" s="12" t="inlineStr">
        <is>
          <t>Organic</t>
        </is>
      </c>
      <c r="G600" s="12" t="inlineStr">
        <is>
          <t>Free</t>
        </is>
      </c>
      <c r="H600" s="12" t="n">
        <v>1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/>
      <c r="P600" s="12" t="n">
        <v>24.3</v>
      </c>
    </row>
    <row r="601">
      <c r="A601" s="12" t="inlineStr">
        <is>
          <t>USR-100600</t>
        </is>
      </c>
      <c r="B601" s="29" t="n">
        <v>45780</v>
      </c>
      <c r="C601" s="12" t="inlineStr">
        <is>
          <t>Control</t>
        </is>
      </c>
      <c r="D601" s="12" t="inlineStr">
        <is>
          <t>South</t>
        </is>
      </c>
      <c r="E601" s="12" t="inlineStr">
        <is>
          <t>Desktop</t>
        </is>
      </c>
      <c r="F601" s="12" t="inlineStr">
        <is>
          <t>Paid Search</t>
        </is>
      </c>
      <c r="G601" s="12" t="inlineStr">
        <is>
          <t>Free</t>
        </is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1</v>
      </c>
      <c r="N601" s="12" t="n">
        <v>0</v>
      </c>
      <c r="O601" s="12" t="n"/>
      <c r="P601" s="12" t="n">
        <v>61.9</v>
      </c>
    </row>
    <row r="602">
      <c r="A602" s="12" t="inlineStr">
        <is>
          <t>USR-100601</t>
        </is>
      </c>
      <c r="B602" s="29" t="n">
        <v>45804</v>
      </c>
      <c r="C602" s="12" t="inlineStr">
        <is>
          <t>Control</t>
        </is>
      </c>
      <c r="D602" s="12" t="inlineStr">
        <is>
          <t>East</t>
        </is>
      </c>
      <c r="E602" s="12" t="inlineStr">
        <is>
          <t>Desktop</t>
        </is>
      </c>
      <c r="F602" s="12" t="inlineStr">
        <is>
          <t>Referral</t>
        </is>
      </c>
      <c r="G602" s="12" t="inlineStr">
        <is>
          <t>Premium</t>
        </is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2</v>
      </c>
      <c r="N602" s="12" t="n">
        <v>0</v>
      </c>
      <c r="O602" s="12" t="n"/>
      <c r="P602" s="12" t="n">
        <v>41.7</v>
      </c>
    </row>
    <row r="603">
      <c r="A603" s="12" t="inlineStr">
        <is>
          <t>USR-100602</t>
        </is>
      </c>
      <c r="B603" s="29" t="n">
        <v>45697</v>
      </c>
      <c r="C603" s="12" t="inlineStr">
        <is>
          <t>Control</t>
        </is>
      </c>
      <c r="D603" s="12" t="inlineStr">
        <is>
          <t>South</t>
        </is>
      </c>
      <c r="E603" s="12" t="inlineStr">
        <is>
          <t>Desktop</t>
        </is>
      </c>
      <c r="F603" s="12" t="inlineStr">
        <is>
          <t>Social</t>
        </is>
      </c>
      <c r="G603" s="12" t="inlineStr">
        <is>
          <t>Free</t>
        </is>
      </c>
      <c r="H603" s="12" t="n">
        <v>1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/>
      <c r="P603" s="12" t="n">
        <v>87.59999999999999</v>
      </c>
    </row>
    <row r="604">
      <c r="A604" s="12" t="inlineStr">
        <is>
          <t>USR-100603</t>
        </is>
      </c>
      <c r="B604" s="29" t="n">
        <v>45795</v>
      </c>
      <c r="C604" s="12" t="inlineStr">
        <is>
          <t>Control</t>
        </is>
      </c>
      <c r="D604" s="12" t="inlineStr">
        <is>
          <t>East</t>
        </is>
      </c>
      <c r="E604" s="12" t="inlineStr">
        <is>
          <t>Mobile</t>
        </is>
      </c>
      <c r="F604" s="12" t="inlineStr">
        <is>
          <t>Paid Search</t>
        </is>
      </c>
      <c r="G604" s="12" t="inlineStr">
        <is>
          <t>Free</t>
        </is>
      </c>
      <c r="H604" s="12" t="n">
        <v>1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/>
      <c r="P604" s="12" t="n">
        <v>30.8</v>
      </c>
    </row>
    <row r="605">
      <c r="A605" s="12" t="inlineStr">
        <is>
          <t>USR-100604</t>
        </is>
      </c>
      <c r="B605" s="29" t="n">
        <v>45794</v>
      </c>
      <c r="C605" s="12" t="inlineStr">
        <is>
          <t>Control</t>
        </is>
      </c>
      <c r="D605" s="12" t="inlineStr">
        <is>
          <t>North</t>
        </is>
      </c>
      <c r="E605" s="12" t="inlineStr">
        <is>
          <t>Mobile</t>
        </is>
      </c>
      <c r="F605" s="12" t="inlineStr">
        <is>
          <t>Email</t>
        </is>
      </c>
      <c r="G605" s="12" t="inlineStr">
        <is>
          <t>Free</t>
        </is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/>
      <c r="P605" s="12" t="n">
        <v>54</v>
      </c>
    </row>
    <row r="606">
      <c r="A606" s="12" t="inlineStr">
        <is>
          <t>USR-100605</t>
        </is>
      </c>
      <c r="B606" s="29" t="n">
        <v>45682</v>
      </c>
      <c r="C606" s="12" t="inlineStr">
        <is>
          <t>Control</t>
        </is>
      </c>
      <c r="D606" s="12" t="inlineStr">
        <is>
          <t>East</t>
        </is>
      </c>
      <c r="E606" s="12" t="inlineStr">
        <is>
          <t>Desktop</t>
        </is>
      </c>
      <c r="F606" s="12" t="inlineStr">
        <is>
          <t>Referral</t>
        </is>
      </c>
      <c r="G606" s="12" t="inlineStr">
        <is>
          <t>Basic</t>
        </is>
      </c>
      <c r="H606" s="12" t="n">
        <v>1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1</v>
      </c>
      <c r="N606" s="12" t="n">
        <v>0</v>
      </c>
      <c r="O606" s="12" t="n"/>
      <c r="P606" s="12" t="n">
        <v>54.5</v>
      </c>
    </row>
    <row r="607">
      <c r="A607" s="12" t="inlineStr">
        <is>
          <t>USR-100606</t>
        </is>
      </c>
      <c r="B607" s="29" t="n">
        <v>45781</v>
      </c>
      <c r="C607" s="12" t="inlineStr">
        <is>
          <t>Control</t>
        </is>
      </c>
      <c r="D607" s="12" t="inlineStr">
        <is>
          <t>West</t>
        </is>
      </c>
      <c r="E607" s="12" t="inlineStr">
        <is>
          <t>Mobile</t>
        </is>
      </c>
      <c r="F607" s="12" t="inlineStr">
        <is>
          <t>Paid Search</t>
        </is>
      </c>
      <c r="G607" s="12" t="inlineStr">
        <is>
          <t>Premium</t>
        </is>
      </c>
      <c r="H607" s="12" t="n">
        <v>1</v>
      </c>
      <c r="I607" s="12" t="n">
        <v>1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/>
      <c r="P607" s="12" t="n">
        <v>61.3</v>
      </c>
    </row>
    <row r="608">
      <c r="A608" s="12" t="inlineStr">
        <is>
          <t>USR-100607</t>
        </is>
      </c>
      <c r="B608" s="29" t="n">
        <v>45761</v>
      </c>
      <c r="C608" s="12" t="inlineStr">
        <is>
          <t>Control</t>
        </is>
      </c>
      <c r="D608" s="12" t="inlineStr">
        <is>
          <t>West</t>
        </is>
      </c>
      <c r="E608" s="12" t="inlineStr">
        <is>
          <t>Mobile</t>
        </is>
      </c>
      <c r="F608" s="12" t="inlineStr">
        <is>
          <t>Organic</t>
        </is>
      </c>
      <c r="G608" s="12" t="inlineStr">
        <is>
          <t>Free</t>
        </is>
      </c>
      <c r="H608" s="12" t="n">
        <v>1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/>
      <c r="P608" s="12" t="n">
        <v>62.7</v>
      </c>
    </row>
    <row r="609">
      <c r="A609" s="12" t="inlineStr">
        <is>
          <t>USR-100608</t>
        </is>
      </c>
      <c r="B609" s="29" t="n">
        <v>45765</v>
      </c>
      <c r="C609" s="12" t="inlineStr">
        <is>
          <t>Control</t>
        </is>
      </c>
      <c r="D609" s="12" t="inlineStr">
        <is>
          <t>South</t>
        </is>
      </c>
      <c r="E609" s="12" t="inlineStr">
        <is>
          <t>Mobile</t>
        </is>
      </c>
      <c r="F609" s="12" t="inlineStr">
        <is>
          <t>Paid Search</t>
        </is>
      </c>
      <c r="G609" s="12" t="inlineStr">
        <is>
          <t>Free</t>
        </is>
      </c>
      <c r="H609" s="12" t="n">
        <v>1</v>
      </c>
      <c r="I609" s="12" t="n">
        <v>1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/>
      <c r="P609" s="12" t="n">
        <v>43.1</v>
      </c>
    </row>
    <row r="610">
      <c r="A610" s="12" t="inlineStr">
        <is>
          <t>USR-100609</t>
        </is>
      </c>
      <c r="B610" s="29" t="n">
        <v>45712</v>
      </c>
      <c r="C610" s="12" t="inlineStr">
        <is>
          <t>Control</t>
        </is>
      </c>
      <c r="D610" s="12" t="inlineStr">
        <is>
          <t>South</t>
        </is>
      </c>
      <c r="E610" s="12" t="inlineStr">
        <is>
          <t>Desktop</t>
        </is>
      </c>
      <c r="F610" s="12" t="inlineStr">
        <is>
          <t>Email</t>
        </is>
      </c>
      <c r="G610" s="12" t="inlineStr">
        <is>
          <t>Basic</t>
        </is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/>
      <c r="P610" s="12" t="n">
        <v>59.9</v>
      </c>
    </row>
    <row r="611">
      <c r="A611" s="12" t="inlineStr">
        <is>
          <t>USR-100610</t>
        </is>
      </c>
      <c r="B611" s="29" t="n">
        <v>45766</v>
      </c>
      <c r="C611" s="12" t="inlineStr">
        <is>
          <t>Control</t>
        </is>
      </c>
      <c r="D611" s="12" t="inlineStr">
        <is>
          <t>North</t>
        </is>
      </c>
      <c r="E611" s="12" t="inlineStr">
        <is>
          <t>Tablet</t>
        </is>
      </c>
      <c r="F611" s="12" t="inlineStr">
        <is>
          <t>Paid Search</t>
        </is>
      </c>
      <c r="G611" s="12" t="inlineStr">
        <is>
          <t>Free</t>
        </is>
      </c>
      <c r="H611" s="12" t="n">
        <v>1</v>
      </c>
      <c r="I611" s="12" t="n">
        <v>1</v>
      </c>
      <c r="J611" s="12" t="n">
        <v>1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/>
      <c r="P611" s="12" t="n">
        <v>55.7</v>
      </c>
    </row>
    <row r="612">
      <c r="A612" s="12" t="inlineStr">
        <is>
          <t>USR-100611</t>
        </is>
      </c>
      <c r="B612" s="29" t="n">
        <v>45723</v>
      </c>
      <c r="C612" s="12" t="inlineStr">
        <is>
          <t>Control</t>
        </is>
      </c>
      <c r="D612" s="12" t="inlineStr">
        <is>
          <t>South</t>
        </is>
      </c>
      <c r="E612" s="12" t="inlineStr">
        <is>
          <t>Desktop</t>
        </is>
      </c>
      <c r="F612" s="12" t="inlineStr">
        <is>
          <t>Organic</t>
        </is>
      </c>
      <c r="G612" s="12" t="inlineStr">
        <is>
          <t>Basic</t>
        </is>
      </c>
      <c r="H612" s="12" t="n">
        <v>1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/>
      <c r="P612" s="12" t="n">
        <v>37.1</v>
      </c>
    </row>
    <row r="613">
      <c r="A613" s="12" t="inlineStr">
        <is>
          <t>USR-100612</t>
        </is>
      </c>
      <c r="B613" s="29" t="n">
        <v>45725</v>
      </c>
      <c r="C613" s="12" t="inlineStr">
        <is>
          <t>Control</t>
        </is>
      </c>
      <c r="D613" s="12" t="inlineStr">
        <is>
          <t>East</t>
        </is>
      </c>
      <c r="E613" s="12" t="inlineStr">
        <is>
          <t>Mobile</t>
        </is>
      </c>
      <c r="F613" s="12" t="inlineStr">
        <is>
          <t>Organic</t>
        </is>
      </c>
      <c r="G613" s="12" t="inlineStr">
        <is>
          <t>Basic</t>
        </is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1</v>
      </c>
      <c r="N613" s="12" t="n">
        <v>0</v>
      </c>
      <c r="O613" s="12" t="n"/>
      <c r="P613" s="12" t="n">
        <v>46.7</v>
      </c>
    </row>
    <row r="614">
      <c r="A614" s="12" t="inlineStr">
        <is>
          <t>USR-100613</t>
        </is>
      </c>
      <c r="B614" s="29" t="n">
        <v>45778</v>
      </c>
      <c r="C614" s="12" t="inlineStr">
        <is>
          <t>Control</t>
        </is>
      </c>
      <c r="D614" s="12" t="inlineStr">
        <is>
          <t>South</t>
        </is>
      </c>
      <c r="E614" s="12" t="inlineStr">
        <is>
          <t>Desktop</t>
        </is>
      </c>
      <c r="F614" s="12" t="inlineStr">
        <is>
          <t>Organic</t>
        </is>
      </c>
      <c r="G614" s="12" t="inlineStr">
        <is>
          <t>Basic</t>
        </is>
      </c>
      <c r="H614" s="12" t="n">
        <v>1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/>
      <c r="P614" s="12" t="n">
        <v>54.1</v>
      </c>
    </row>
    <row r="615">
      <c r="A615" s="12" t="inlineStr">
        <is>
          <t>USR-100614</t>
        </is>
      </c>
      <c r="B615" s="29" t="n">
        <v>45697</v>
      </c>
      <c r="C615" s="12" t="inlineStr">
        <is>
          <t>Control</t>
        </is>
      </c>
      <c r="D615" s="12" t="inlineStr">
        <is>
          <t>West</t>
        </is>
      </c>
      <c r="E615" s="12" t="inlineStr">
        <is>
          <t>Desktop</t>
        </is>
      </c>
      <c r="F615" s="12" t="inlineStr">
        <is>
          <t>Organic</t>
        </is>
      </c>
      <c r="G615" s="12" t="inlineStr">
        <is>
          <t>Premium</t>
        </is>
      </c>
      <c r="H615" s="12" t="n">
        <v>1</v>
      </c>
      <c r="I615" s="12" t="n">
        <v>1</v>
      </c>
      <c r="J615" s="12" t="n">
        <v>1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/>
      <c r="P615" s="12" t="n">
        <v>56.1</v>
      </c>
    </row>
    <row r="616">
      <c r="A616" s="12" t="inlineStr">
        <is>
          <t>USR-100615</t>
        </is>
      </c>
      <c r="B616" s="29" t="n">
        <v>45799</v>
      </c>
      <c r="C616" s="12" t="inlineStr">
        <is>
          <t>Control</t>
        </is>
      </c>
      <c r="D616" s="12" t="inlineStr">
        <is>
          <t>West</t>
        </is>
      </c>
      <c r="E616" s="12" t="inlineStr">
        <is>
          <t>Mobile</t>
        </is>
      </c>
      <c r="F616" s="12" t="inlineStr">
        <is>
          <t>Referral</t>
        </is>
      </c>
      <c r="G616" s="12" t="inlineStr">
        <is>
          <t>Premium</t>
        </is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/>
      <c r="P616" s="12" t="n">
        <v>23.6</v>
      </c>
    </row>
    <row r="617">
      <c r="A617" s="12" t="inlineStr">
        <is>
          <t>USR-100616</t>
        </is>
      </c>
      <c r="B617" s="29" t="n">
        <v>45699</v>
      </c>
      <c r="C617" s="12" t="inlineStr">
        <is>
          <t>Control</t>
        </is>
      </c>
      <c r="D617" s="12" t="inlineStr">
        <is>
          <t>North</t>
        </is>
      </c>
      <c r="E617" s="12" t="inlineStr">
        <is>
          <t>Mobile</t>
        </is>
      </c>
      <c r="F617" s="12" t="inlineStr">
        <is>
          <t>Organic</t>
        </is>
      </c>
      <c r="G617" s="12" t="inlineStr">
        <is>
          <t>Premium</t>
        </is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/>
      <c r="P617" s="12" t="n">
        <v>54.7</v>
      </c>
    </row>
    <row r="618">
      <c r="A618" s="12" t="inlineStr">
        <is>
          <t>USR-100617</t>
        </is>
      </c>
      <c r="B618" s="29" t="n">
        <v>45759</v>
      </c>
      <c r="C618" s="12" t="inlineStr">
        <is>
          <t>Control</t>
        </is>
      </c>
      <c r="D618" s="12" t="inlineStr">
        <is>
          <t>North</t>
        </is>
      </c>
      <c r="E618" s="12" t="inlineStr">
        <is>
          <t>Mobile</t>
        </is>
      </c>
      <c r="F618" s="12" t="inlineStr">
        <is>
          <t>Referral</t>
        </is>
      </c>
      <c r="G618" s="12" t="inlineStr">
        <is>
          <t>Basic</t>
        </is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2</v>
      </c>
      <c r="N618" s="12" t="n">
        <v>0</v>
      </c>
      <c r="O618" s="12" t="n"/>
      <c r="P618" s="12" t="n">
        <v>50.4</v>
      </c>
    </row>
    <row r="619">
      <c r="A619" s="12" t="inlineStr">
        <is>
          <t>USR-100618</t>
        </is>
      </c>
      <c r="B619" s="29" t="n">
        <v>45717</v>
      </c>
      <c r="C619" s="12" t="inlineStr">
        <is>
          <t>Control</t>
        </is>
      </c>
      <c r="D619" s="12" t="inlineStr">
        <is>
          <t>West</t>
        </is>
      </c>
      <c r="E619" s="12" t="inlineStr">
        <is>
          <t>Mobile</t>
        </is>
      </c>
      <c r="F619" s="12" t="inlineStr">
        <is>
          <t>Social</t>
        </is>
      </c>
      <c r="G619" s="12" t="inlineStr">
        <is>
          <t>Free</t>
        </is>
      </c>
      <c r="H619" s="12" t="n">
        <v>1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/>
      <c r="P619" s="12" t="n">
        <v>54.5</v>
      </c>
    </row>
    <row r="620">
      <c r="A620" s="12" t="inlineStr">
        <is>
          <t>USR-100619</t>
        </is>
      </c>
      <c r="B620" s="29" t="n">
        <v>45733</v>
      </c>
      <c r="C620" s="12" t="inlineStr">
        <is>
          <t>Control</t>
        </is>
      </c>
      <c r="D620" s="12" t="inlineStr">
        <is>
          <t>West</t>
        </is>
      </c>
      <c r="E620" s="12" t="inlineStr">
        <is>
          <t>Desktop</t>
        </is>
      </c>
      <c r="F620" s="12" t="inlineStr">
        <is>
          <t>Email</t>
        </is>
      </c>
      <c r="G620" s="12" t="inlineStr">
        <is>
          <t>Basic</t>
        </is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/>
      <c r="P620" s="12" t="n">
        <v>58</v>
      </c>
    </row>
    <row r="621">
      <c r="A621" s="12" t="inlineStr">
        <is>
          <t>USR-100620</t>
        </is>
      </c>
      <c r="B621" s="29" t="n">
        <v>45668</v>
      </c>
      <c r="C621" s="12" t="inlineStr">
        <is>
          <t>Control</t>
        </is>
      </c>
      <c r="D621" s="12" t="inlineStr">
        <is>
          <t>North</t>
        </is>
      </c>
      <c r="E621" s="12" t="inlineStr">
        <is>
          <t>Mobile</t>
        </is>
      </c>
      <c r="F621" s="12" t="inlineStr">
        <is>
          <t>Paid Search</t>
        </is>
      </c>
      <c r="G621" s="12" t="inlineStr">
        <is>
          <t>Free</t>
        </is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/>
      <c r="P621" s="12" t="n">
        <v>42.9</v>
      </c>
    </row>
    <row r="622">
      <c r="A622" s="12" t="inlineStr">
        <is>
          <t>USR-100621</t>
        </is>
      </c>
      <c r="B622" s="29" t="n">
        <v>45705</v>
      </c>
      <c r="C622" s="12" t="inlineStr">
        <is>
          <t>Control</t>
        </is>
      </c>
      <c r="D622" s="12" t="inlineStr">
        <is>
          <t>South</t>
        </is>
      </c>
      <c r="E622" s="12" t="inlineStr">
        <is>
          <t>Mobile</t>
        </is>
      </c>
      <c r="F622" s="12" t="inlineStr">
        <is>
          <t>Social</t>
        </is>
      </c>
      <c r="G622" s="12" t="inlineStr">
        <is>
          <t>Premium</t>
        </is>
      </c>
      <c r="H622" s="12" t="n">
        <v>1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/>
      <c r="P622" s="12" t="n">
        <v>51.1</v>
      </c>
    </row>
    <row r="623">
      <c r="A623" s="12" t="inlineStr">
        <is>
          <t>USR-100622</t>
        </is>
      </c>
      <c r="B623" s="29" t="n">
        <v>45741</v>
      </c>
      <c r="C623" s="12" t="inlineStr">
        <is>
          <t>Control</t>
        </is>
      </c>
      <c r="D623" s="12" t="inlineStr">
        <is>
          <t>East</t>
        </is>
      </c>
      <c r="E623" s="12" t="inlineStr">
        <is>
          <t>Mobile</t>
        </is>
      </c>
      <c r="F623" s="12" t="inlineStr">
        <is>
          <t>Paid Search</t>
        </is>
      </c>
      <c r="G623" s="12" t="inlineStr">
        <is>
          <t>Basic</t>
        </is>
      </c>
      <c r="H623" s="12" t="n">
        <v>1</v>
      </c>
      <c r="I623" s="12" t="n">
        <v>1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/>
      <c r="P623" s="12" t="n">
        <v>51.8</v>
      </c>
    </row>
    <row r="624">
      <c r="A624" s="12" t="inlineStr">
        <is>
          <t>USR-100623</t>
        </is>
      </c>
      <c r="B624" s="29" t="n">
        <v>45778</v>
      </c>
      <c r="C624" s="12" t="inlineStr">
        <is>
          <t>Control</t>
        </is>
      </c>
      <c r="D624" s="12" t="inlineStr">
        <is>
          <t>South</t>
        </is>
      </c>
      <c r="E624" s="12" t="inlineStr">
        <is>
          <t>Mobile</t>
        </is>
      </c>
      <c r="F624" s="12" t="inlineStr">
        <is>
          <t>Paid Search</t>
        </is>
      </c>
      <c r="G624" s="12" t="inlineStr">
        <is>
          <t>Free</t>
        </is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/>
      <c r="P624" s="12" t="n">
        <v>67.7</v>
      </c>
    </row>
    <row r="625">
      <c r="A625" s="12" t="inlineStr">
        <is>
          <t>USR-100624</t>
        </is>
      </c>
      <c r="B625" s="29" t="n">
        <v>45749</v>
      </c>
      <c r="C625" s="12" t="inlineStr">
        <is>
          <t>Control</t>
        </is>
      </c>
      <c r="D625" s="12" t="inlineStr">
        <is>
          <t>East</t>
        </is>
      </c>
      <c r="E625" s="12" t="inlineStr">
        <is>
          <t>Mobile</t>
        </is>
      </c>
      <c r="F625" s="12" t="inlineStr">
        <is>
          <t>Organic</t>
        </is>
      </c>
      <c r="G625" s="12" t="inlineStr">
        <is>
          <t>Basic</t>
        </is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/>
      <c r="P625" s="12" t="n">
        <v>75.8</v>
      </c>
    </row>
    <row r="626">
      <c r="A626" s="12" t="inlineStr">
        <is>
          <t>USR-100625</t>
        </is>
      </c>
      <c r="B626" s="29" t="n">
        <v>45752</v>
      </c>
      <c r="C626" s="12" t="inlineStr">
        <is>
          <t>Control</t>
        </is>
      </c>
      <c r="D626" s="12" t="inlineStr">
        <is>
          <t>East</t>
        </is>
      </c>
      <c r="E626" s="12" t="inlineStr">
        <is>
          <t>Mobile</t>
        </is>
      </c>
      <c r="F626" s="12" t="inlineStr">
        <is>
          <t>Email</t>
        </is>
      </c>
      <c r="G626" s="12" t="inlineStr">
        <is>
          <t>Free</t>
        </is>
      </c>
      <c r="H626" s="12" t="n">
        <v>1</v>
      </c>
      <c r="I626" s="12" t="n">
        <v>1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/>
      <c r="P626" s="12" t="n">
        <v>72.8</v>
      </c>
    </row>
    <row r="627">
      <c r="A627" s="12" t="inlineStr">
        <is>
          <t>USR-100626</t>
        </is>
      </c>
      <c r="B627" s="29" t="n">
        <v>45712</v>
      </c>
      <c r="C627" s="12" t="inlineStr">
        <is>
          <t>Control</t>
        </is>
      </c>
      <c r="D627" s="12" t="inlineStr">
        <is>
          <t>North</t>
        </is>
      </c>
      <c r="E627" s="12" t="inlineStr">
        <is>
          <t>Desktop</t>
        </is>
      </c>
      <c r="F627" s="12" t="inlineStr">
        <is>
          <t>Social</t>
        </is>
      </c>
      <c r="G627" s="12" t="inlineStr">
        <is>
          <t>Free</t>
        </is>
      </c>
      <c r="H627" s="12" t="n">
        <v>1</v>
      </c>
      <c r="I627" s="12" t="n">
        <v>1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/>
      <c r="P627" s="12" t="n">
        <v>54.4</v>
      </c>
    </row>
    <row r="628">
      <c r="A628" s="12" t="inlineStr">
        <is>
          <t>USR-100627</t>
        </is>
      </c>
      <c r="B628" s="29" t="n">
        <v>45681</v>
      </c>
      <c r="C628" s="12" t="inlineStr">
        <is>
          <t>Control</t>
        </is>
      </c>
      <c r="D628" s="12" t="inlineStr">
        <is>
          <t>West</t>
        </is>
      </c>
      <c r="E628" s="12" t="inlineStr">
        <is>
          <t>Mobile</t>
        </is>
      </c>
      <c r="F628" s="12" t="inlineStr">
        <is>
          <t>Paid Search</t>
        </is>
      </c>
      <c r="G628" s="12" t="inlineStr">
        <is>
          <t>Basic</t>
        </is>
      </c>
      <c r="H628" s="12" t="n">
        <v>1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/>
      <c r="P628" s="12" t="n">
        <v>51.8</v>
      </c>
    </row>
    <row r="629">
      <c r="A629" s="12" t="inlineStr">
        <is>
          <t>USR-100628</t>
        </is>
      </c>
      <c r="B629" s="29" t="n">
        <v>45757</v>
      </c>
      <c r="C629" s="12" t="inlineStr">
        <is>
          <t>Control</t>
        </is>
      </c>
      <c r="D629" s="12" t="inlineStr">
        <is>
          <t>South</t>
        </is>
      </c>
      <c r="E629" s="12" t="inlineStr">
        <is>
          <t>Mobile</t>
        </is>
      </c>
      <c r="F629" s="12" t="inlineStr">
        <is>
          <t>Paid Search</t>
        </is>
      </c>
      <c r="G629" s="12" t="inlineStr">
        <is>
          <t>Free</t>
        </is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/>
      <c r="P629" s="12" t="n">
        <v>40.3</v>
      </c>
    </row>
    <row r="630">
      <c r="A630" s="12" t="inlineStr">
        <is>
          <t>USR-100629</t>
        </is>
      </c>
      <c r="B630" s="29" t="n">
        <v>45707</v>
      </c>
      <c r="C630" s="12" t="inlineStr">
        <is>
          <t>Control</t>
        </is>
      </c>
      <c r="D630" s="12" t="inlineStr">
        <is>
          <t>South</t>
        </is>
      </c>
      <c r="E630" s="12" t="inlineStr">
        <is>
          <t>Mobile</t>
        </is>
      </c>
      <c r="F630" s="12" t="inlineStr">
        <is>
          <t>Referral</t>
        </is>
      </c>
      <c r="G630" s="12" t="inlineStr">
        <is>
          <t>Free</t>
        </is>
      </c>
      <c r="H630" s="12" t="n">
        <v>1</v>
      </c>
      <c r="I630" s="12" t="n">
        <v>1</v>
      </c>
      <c r="J630" s="12" t="n">
        <v>1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/>
      <c r="P630" s="12" t="n">
        <v>61.7</v>
      </c>
    </row>
    <row r="631">
      <c r="A631" s="12" t="inlineStr">
        <is>
          <t>USR-100630</t>
        </is>
      </c>
      <c r="B631" s="29" t="n">
        <v>45738</v>
      </c>
      <c r="C631" s="12" t="inlineStr">
        <is>
          <t>Control</t>
        </is>
      </c>
      <c r="D631" s="12" t="inlineStr">
        <is>
          <t>North</t>
        </is>
      </c>
      <c r="E631" s="12" t="inlineStr">
        <is>
          <t>Mobile</t>
        </is>
      </c>
      <c r="F631" s="12" t="inlineStr">
        <is>
          <t>Social</t>
        </is>
      </c>
      <c r="G631" s="12" t="inlineStr">
        <is>
          <t>Free</t>
        </is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/>
      <c r="P631" s="12" t="n">
        <v>45</v>
      </c>
    </row>
    <row r="632">
      <c r="A632" s="12" t="inlineStr">
        <is>
          <t>USR-100631</t>
        </is>
      </c>
      <c r="B632" s="29" t="n">
        <v>45755</v>
      </c>
      <c r="C632" s="12" t="inlineStr">
        <is>
          <t>Control</t>
        </is>
      </c>
      <c r="D632" s="12" t="inlineStr">
        <is>
          <t>East</t>
        </is>
      </c>
      <c r="E632" s="12" t="inlineStr">
        <is>
          <t>Desktop</t>
        </is>
      </c>
      <c r="F632" s="12" t="inlineStr">
        <is>
          <t>Organic</t>
        </is>
      </c>
      <c r="G632" s="12" t="inlineStr">
        <is>
          <t>Premium</t>
        </is>
      </c>
      <c r="H632" s="12" t="n">
        <v>1</v>
      </c>
      <c r="I632" s="12" t="n">
        <v>1</v>
      </c>
      <c r="J632" s="12" t="n">
        <v>1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/>
      <c r="P632" s="12" t="n">
        <v>60</v>
      </c>
    </row>
    <row r="633">
      <c r="A633" s="12" t="inlineStr">
        <is>
          <t>USR-100632</t>
        </is>
      </c>
      <c r="B633" s="29" t="n">
        <v>45732</v>
      </c>
      <c r="C633" s="12" t="inlineStr">
        <is>
          <t>Control</t>
        </is>
      </c>
      <c r="D633" s="12" t="inlineStr">
        <is>
          <t>North</t>
        </is>
      </c>
      <c r="E633" s="12" t="inlineStr">
        <is>
          <t>Mobile</t>
        </is>
      </c>
      <c r="F633" s="12" t="inlineStr">
        <is>
          <t>Social</t>
        </is>
      </c>
      <c r="G633" s="12" t="inlineStr">
        <is>
          <t>Free</t>
        </is>
      </c>
      <c r="H633" s="12" t="n">
        <v>1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/>
      <c r="P633" s="12" t="n"/>
    </row>
    <row r="634">
      <c r="A634" s="12" t="inlineStr">
        <is>
          <t>USR-100633</t>
        </is>
      </c>
      <c r="B634" s="29" t="n">
        <v>45723</v>
      </c>
      <c r="C634" s="12" t="inlineStr">
        <is>
          <t>Control</t>
        </is>
      </c>
      <c r="D634" s="12" t="inlineStr">
        <is>
          <t>East</t>
        </is>
      </c>
      <c r="E634" s="12" t="inlineStr">
        <is>
          <t>Mobile</t>
        </is>
      </c>
      <c r="F634" s="12" t="inlineStr">
        <is>
          <t>Paid Search</t>
        </is>
      </c>
      <c r="G634" s="12" t="inlineStr">
        <is>
          <t>Free</t>
        </is>
      </c>
      <c r="H634" s="12" t="n">
        <v>1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/>
      <c r="P634" s="12" t="n">
        <v>55.5</v>
      </c>
    </row>
    <row r="635">
      <c r="A635" s="12" t="inlineStr">
        <is>
          <t>USR-100634</t>
        </is>
      </c>
      <c r="B635" s="29" t="n">
        <v>45732</v>
      </c>
      <c r="C635" s="12" t="inlineStr">
        <is>
          <t>Control</t>
        </is>
      </c>
      <c r="D635" s="12" t="inlineStr">
        <is>
          <t>South</t>
        </is>
      </c>
      <c r="E635" s="12" t="inlineStr">
        <is>
          <t>Mobile</t>
        </is>
      </c>
      <c r="F635" s="12" t="inlineStr">
        <is>
          <t>Referral</t>
        </is>
      </c>
      <c r="G635" s="12" t="inlineStr">
        <is>
          <t>Basic</t>
        </is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/>
      <c r="P635" s="12" t="n">
        <v>51.8</v>
      </c>
    </row>
    <row r="636">
      <c r="A636" s="12" t="inlineStr">
        <is>
          <t>USR-100635</t>
        </is>
      </c>
      <c r="B636" s="29" t="n">
        <v>45803</v>
      </c>
      <c r="C636" s="12" t="inlineStr">
        <is>
          <t>Control</t>
        </is>
      </c>
      <c r="D636" s="12" t="inlineStr">
        <is>
          <t>East</t>
        </is>
      </c>
      <c r="E636" s="12" t="inlineStr">
        <is>
          <t>Mobile</t>
        </is>
      </c>
      <c r="F636" s="12" t="n"/>
      <c r="G636" s="12" t="inlineStr">
        <is>
          <t>Premium</t>
        </is>
      </c>
      <c r="H636" s="12" t="n">
        <v>1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3</v>
      </c>
      <c r="N636" s="12" t="n">
        <v>0</v>
      </c>
      <c r="O636" s="12" t="n"/>
      <c r="P636" s="12" t="n">
        <v>56</v>
      </c>
    </row>
    <row r="637">
      <c r="A637" s="12" t="inlineStr">
        <is>
          <t>USR-100636</t>
        </is>
      </c>
      <c r="B637" s="29" t="n">
        <v>45671</v>
      </c>
      <c r="C637" s="12" t="inlineStr">
        <is>
          <t>Control</t>
        </is>
      </c>
      <c r="D637" s="12" t="inlineStr">
        <is>
          <t>West</t>
        </is>
      </c>
      <c r="E637" s="12" t="inlineStr">
        <is>
          <t>Mobile</t>
        </is>
      </c>
      <c r="F637" s="12" t="inlineStr">
        <is>
          <t>Organic</t>
        </is>
      </c>
      <c r="G637" s="12" t="inlineStr">
        <is>
          <t>Free</t>
        </is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/>
      <c r="P637" s="12" t="n">
        <v>52.5</v>
      </c>
    </row>
    <row r="638">
      <c r="A638" s="12" t="inlineStr">
        <is>
          <t>USR-100637</t>
        </is>
      </c>
      <c r="B638" s="29" t="n">
        <v>45746</v>
      </c>
      <c r="C638" s="12" t="inlineStr">
        <is>
          <t>Control</t>
        </is>
      </c>
      <c r="D638" s="12" t="inlineStr">
        <is>
          <t>West</t>
        </is>
      </c>
      <c r="E638" s="12" t="inlineStr">
        <is>
          <t>Mobile</t>
        </is>
      </c>
      <c r="F638" s="12" t="inlineStr">
        <is>
          <t>Paid Search</t>
        </is>
      </c>
      <c r="G638" s="12" t="inlineStr">
        <is>
          <t>Premium</t>
        </is>
      </c>
      <c r="H638" s="12" t="n">
        <v>1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/>
      <c r="P638" s="12" t="n">
        <v>42.5</v>
      </c>
    </row>
    <row r="639">
      <c r="A639" s="12" t="inlineStr">
        <is>
          <t>USR-100638</t>
        </is>
      </c>
      <c r="B639" s="29" t="n">
        <v>45789</v>
      </c>
      <c r="C639" s="12" t="inlineStr">
        <is>
          <t>Control</t>
        </is>
      </c>
      <c r="D639" s="12" t="inlineStr">
        <is>
          <t>East</t>
        </is>
      </c>
      <c r="E639" s="12" t="inlineStr">
        <is>
          <t>Desktop</t>
        </is>
      </c>
      <c r="F639" s="12" t="inlineStr">
        <is>
          <t>Email</t>
        </is>
      </c>
      <c r="G639" s="12" t="inlineStr">
        <is>
          <t>Free</t>
        </is>
      </c>
      <c r="H639" s="12" t="n">
        <v>1</v>
      </c>
      <c r="I639" s="12" t="n">
        <v>1</v>
      </c>
      <c r="J639" s="12" t="n">
        <v>1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/>
      <c r="P639" s="12" t="n">
        <v>65.3</v>
      </c>
    </row>
    <row r="640">
      <c r="A640" s="12" t="inlineStr">
        <is>
          <t>USR-100639</t>
        </is>
      </c>
      <c r="B640" s="29" t="n">
        <v>45787</v>
      </c>
      <c r="C640" s="12" t="inlineStr">
        <is>
          <t>Control</t>
        </is>
      </c>
      <c r="D640" s="12" t="inlineStr">
        <is>
          <t>West</t>
        </is>
      </c>
      <c r="E640" s="12" t="inlineStr">
        <is>
          <t>Mobile</t>
        </is>
      </c>
      <c r="F640" s="12" t="inlineStr">
        <is>
          <t>Paid Search</t>
        </is>
      </c>
      <c r="G640" s="12" t="inlineStr">
        <is>
          <t>Free</t>
        </is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/>
      <c r="P640" s="12" t="n">
        <v>37.6</v>
      </c>
    </row>
    <row r="641">
      <c r="A641" s="12" t="inlineStr">
        <is>
          <t>USR-100640</t>
        </is>
      </c>
      <c r="B641" s="29" t="n">
        <v>45756</v>
      </c>
      <c r="C641" s="12" t="inlineStr">
        <is>
          <t>Control</t>
        </is>
      </c>
      <c r="D641" s="12" t="inlineStr">
        <is>
          <t>East</t>
        </is>
      </c>
      <c r="E641" s="12" t="inlineStr">
        <is>
          <t>Mobile</t>
        </is>
      </c>
      <c r="F641" s="12" t="inlineStr">
        <is>
          <t>Social</t>
        </is>
      </c>
      <c r="G641" s="12" t="inlineStr">
        <is>
          <t>Basic</t>
        </is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/>
      <c r="P641" s="12" t="n">
        <v>57.8</v>
      </c>
    </row>
    <row r="642">
      <c r="A642" s="12" t="inlineStr">
        <is>
          <t>USR-100641</t>
        </is>
      </c>
      <c r="B642" s="29" t="n">
        <v>45803</v>
      </c>
      <c r="C642" s="12" t="inlineStr">
        <is>
          <t>Control</t>
        </is>
      </c>
      <c r="D642" s="12" t="inlineStr">
        <is>
          <t>North</t>
        </is>
      </c>
      <c r="E642" s="12" t="inlineStr">
        <is>
          <t>Mobile</t>
        </is>
      </c>
      <c r="F642" s="12" t="inlineStr">
        <is>
          <t>Social</t>
        </is>
      </c>
      <c r="G642" s="12" t="inlineStr">
        <is>
          <t>Free</t>
        </is>
      </c>
      <c r="H642" s="12" t="n">
        <v>1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/>
      <c r="P642" s="12" t="n">
        <v>52.7</v>
      </c>
    </row>
    <row r="643">
      <c r="A643" s="12" t="inlineStr">
        <is>
          <t>USR-100642</t>
        </is>
      </c>
      <c r="B643" s="29" t="n">
        <v>45700</v>
      </c>
      <c r="C643" s="12" t="inlineStr">
        <is>
          <t>Control</t>
        </is>
      </c>
      <c r="D643" s="12" t="inlineStr">
        <is>
          <t>North</t>
        </is>
      </c>
      <c r="E643" s="12" t="inlineStr">
        <is>
          <t>Mobile</t>
        </is>
      </c>
      <c r="F643" s="12" t="inlineStr">
        <is>
          <t>Organic</t>
        </is>
      </c>
      <c r="G643" s="12" t="inlineStr">
        <is>
          <t>Free</t>
        </is>
      </c>
      <c r="H643" s="12" t="n">
        <v>1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/>
      <c r="P643" s="12" t="n">
        <v>51.7</v>
      </c>
    </row>
    <row r="644">
      <c r="A644" s="12" t="inlineStr">
        <is>
          <t>USR-100643</t>
        </is>
      </c>
      <c r="B644" s="29" t="n">
        <v>45748</v>
      </c>
      <c r="C644" s="12" t="inlineStr">
        <is>
          <t>Control</t>
        </is>
      </c>
      <c r="D644" s="12" t="inlineStr">
        <is>
          <t>North</t>
        </is>
      </c>
      <c r="E644" s="12" t="inlineStr">
        <is>
          <t>Desktop</t>
        </is>
      </c>
      <c r="F644" s="12" t="inlineStr">
        <is>
          <t>Email</t>
        </is>
      </c>
      <c r="G644" s="12" t="inlineStr">
        <is>
          <t>Basic</t>
        </is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/>
      <c r="P644" s="12" t="n">
        <v>57</v>
      </c>
    </row>
    <row r="645">
      <c r="A645" s="12" t="inlineStr">
        <is>
          <t>USR-100644</t>
        </is>
      </c>
      <c r="B645" s="29" t="n">
        <v>45675</v>
      </c>
      <c r="C645" s="12" t="inlineStr">
        <is>
          <t>Control</t>
        </is>
      </c>
      <c r="D645" s="12" t="inlineStr">
        <is>
          <t>South</t>
        </is>
      </c>
      <c r="E645" s="12" t="inlineStr">
        <is>
          <t>Desktop</t>
        </is>
      </c>
      <c r="F645" s="12" t="inlineStr">
        <is>
          <t>Organic</t>
        </is>
      </c>
      <c r="G645" s="12" t="inlineStr">
        <is>
          <t>Basic</t>
        </is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/>
      <c r="P645" s="12" t="n">
        <v>39.5</v>
      </c>
    </row>
    <row r="646">
      <c r="A646" s="12" t="inlineStr">
        <is>
          <t>USR-100645</t>
        </is>
      </c>
      <c r="B646" s="29" t="n">
        <v>45753</v>
      </c>
      <c r="C646" s="12" t="inlineStr">
        <is>
          <t>Control</t>
        </is>
      </c>
      <c r="D646" s="12" t="inlineStr">
        <is>
          <t>East</t>
        </is>
      </c>
      <c r="E646" s="12" t="inlineStr">
        <is>
          <t>Tablet</t>
        </is>
      </c>
      <c r="F646" s="12" t="inlineStr">
        <is>
          <t>Organic</t>
        </is>
      </c>
      <c r="G646" s="12" t="inlineStr">
        <is>
          <t>Free</t>
        </is>
      </c>
      <c r="H646" s="12" t="n">
        <v>1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/>
      <c r="P646" s="12" t="n">
        <v>76.5</v>
      </c>
    </row>
    <row r="647">
      <c r="A647" s="12" t="inlineStr">
        <is>
          <t>USR-100646</t>
        </is>
      </c>
      <c r="B647" s="29" t="n">
        <v>45764</v>
      </c>
      <c r="C647" s="12" t="inlineStr">
        <is>
          <t>Control</t>
        </is>
      </c>
      <c r="D647" s="12" t="inlineStr">
        <is>
          <t>East</t>
        </is>
      </c>
      <c r="E647" s="12" t="inlineStr">
        <is>
          <t>Mobile</t>
        </is>
      </c>
      <c r="F647" s="12" t="inlineStr">
        <is>
          <t>Organic</t>
        </is>
      </c>
      <c r="G647" s="12" t="inlineStr">
        <is>
          <t>Free</t>
        </is>
      </c>
      <c r="H647" s="12" t="n">
        <v>1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/>
      <c r="P647" s="12" t="n">
        <v>32.4</v>
      </c>
    </row>
    <row r="648">
      <c r="A648" s="12" t="inlineStr">
        <is>
          <t>USR-100647</t>
        </is>
      </c>
      <c r="B648" s="29" t="n">
        <v>45695</v>
      </c>
      <c r="C648" s="12" t="inlineStr">
        <is>
          <t>Control</t>
        </is>
      </c>
      <c r="D648" s="12" t="inlineStr">
        <is>
          <t>North</t>
        </is>
      </c>
      <c r="E648" s="12" t="inlineStr">
        <is>
          <t>Desktop</t>
        </is>
      </c>
      <c r="F648" s="12" t="inlineStr">
        <is>
          <t>Paid Search</t>
        </is>
      </c>
      <c r="G648" s="12" t="inlineStr">
        <is>
          <t>Free</t>
        </is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/>
      <c r="P648" s="12" t="n">
        <v>58.6</v>
      </c>
    </row>
    <row r="649">
      <c r="A649" s="12" t="inlineStr">
        <is>
          <t>USR-100648</t>
        </is>
      </c>
      <c r="B649" s="29" t="n">
        <v>45720</v>
      </c>
      <c r="C649" s="12" t="inlineStr">
        <is>
          <t>Control</t>
        </is>
      </c>
      <c r="D649" s="12" t="inlineStr">
        <is>
          <t>East</t>
        </is>
      </c>
      <c r="E649" s="12" t="inlineStr">
        <is>
          <t>Mobile</t>
        </is>
      </c>
      <c r="F649" s="12" t="inlineStr">
        <is>
          <t>Organic</t>
        </is>
      </c>
      <c r="G649" s="12" t="inlineStr">
        <is>
          <t>Basic</t>
        </is>
      </c>
      <c r="H649" s="12" t="n">
        <v>1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/>
      <c r="P649" s="12" t="n">
        <v>78.59999999999999</v>
      </c>
    </row>
    <row r="650">
      <c r="A650" s="12" t="inlineStr">
        <is>
          <t>USR-100649</t>
        </is>
      </c>
      <c r="B650" s="29" t="n">
        <v>45705</v>
      </c>
      <c r="C650" s="12" t="inlineStr">
        <is>
          <t>Control</t>
        </is>
      </c>
      <c r="D650" s="12" t="inlineStr">
        <is>
          <t>North</t>
        </is>
      </c>
      <c r="E650" s="12" t="inlineStr">
        <is>
          <t>Desktop</t>
        </is>
      </c>
      <c r="F650" s="12" t="inlineStr">
        <is>
          <t>Organic</t>
        </is>
      </c>
      <c r="G650" s="12" t="inlineStr">
        <is>
          <t>Premium</t>
        </is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/>
      <c r="P650" s="12" t="n">
        <v>54.5</v>
      </c>
    </row>
    <row r="651">
      <c r="A651" s="12" t="inlineStr">
        <is>
          <t>USR-100650</t>
        </is>
      </c>
      <c r="B651" s="29" t="n">
        <v>45783</v>
      </c>
      <c r="C651" s="12" t="inlineStr">
        <is>
          <t>Control</t>
        </is>
      </c>
      <c r="D651" s="12" t="inlineStr">
        <is>
          <t>South</t>
        </is>
      </c>
      <c r="E651" s="12" t="inlineStr">
        <is>
          <t>Mobile</t>
        </is>
      </c>
      <c r="F651" s="12" t="inlineStr">
        <is>
          <t>Referral</t>
        </is>
      </c>
      <c r="G651" s="12" t="inlineStr">
        <is>
          <t>Free</t>
        </is>
      </c>
      <c r="H651" s="12" t="n">
        <v>1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/>
      <c r="P651" s="12" t="n">
        <v>57.6</v>
      </c>
    </row>
    <row r="652">
      <c r="A652" s="12" t="inlineStr">
        <is>
          <t>USR-100651</t>
        </is>
      </c>
      <c r="B652" s="29" t="n">
        <v>45741</v>
      </c>
      <c r="C652" s="12" t="inlineStr">
        <is>
          <t>Control</t>
        </is>
      </c>
      <c r="D652" s="12" t="inlineStr">
        <is>
          <t>South</t>
        </is>
      </c>
      <c r="E652" s="12" t="inlineStr">
        <is>
          <t>Mobile</t>
        </is>
      </c>
      <c r="F652" s="12" t="inlineStr">
        <is>
          <t>Referral</t>
        </is>
      </c>
      <c r="G652" s="12" t="inlineStr">
        <is>
          <t>Premium</t>
        </is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/>
      <c r="P652" s="12" t="n">
        <v>52.8</v>
      </c>
    </row>
    <row r="653">
      <c r="A653" s="12" t="inlineStr">
        <is>
          <t>USR-100652</t>
        </is>
      </c>
      <c r="B653" s="29" t="n">
        <v>45720</v>
      </c>
      <c r="C653" s="12" t="inlineStr">
        <is>
          <t>Control</t>
        </is>
      </c>
      <c r="D653" s="12" t="inlineStr">
        <is>
          <t>West</t>
        </is>
      </c>
      <c r="E653" s="12" t="inlineStr">
        <is>
          <t>Mobile</t>
        </is>
      </c>
      <c r="F653" s="12" t="inlineStr">
        <is>
          <t>Email</t>
        </is>
      </c>
      <c r="G653" s="12" t="inlineStr">
        <is>
          <t>Premium</t>
        </is>
      </c>
      <c r="H653" s="12" t="n">
        <v>1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/>
      <c r="P653" s="12" t="n">
        <v>52.9</v>
      </c>
    </row>
    <row r="654">
      <c r="A654" s="12" t="inlineStr">
        <is>
          <t>USR-100653</t>
        </is>
      </c>
      <c r="B654" s="29" t="n">
        <v>45786</v>
      </c>
      <c r="C654" s="12" t="inlineStr">
        <is>
          <t>Control</t>
        </is>
      </c>
      <c r="D654" s="12" t="inlineStr">
        <is>
          <t>West</t>
        </is>
      </c>
      <c r="E654" s="12" t="inlineStr">
        <is>
          <t>Mobile</t>
        </is>
      </c>
      <c r="F654" s="12" t="inlineStr">
        <is>
          <t>Organic</t>
        </is>
      </c>
      <c r="G654" s="12" t="inlineStr">
        <is>
          <t>Free</t>
        </is>
      </c>
      <c r="H654" s="12" t="n">
        <v>1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1</v>
      </c>
      <c r="N654" s="12" t="n">
        <v>0</v>
      </c>
      <c r="O654" s="12" t="n"/>
      <c r="P654" s="12" t="n">
        <v>55.9</v>
      </c>
    </row>
    <row r="655">
      <c r="A655" s="12" t="inlineStr">
        <is>
          <t>USR-100654</t>
        </is>
      </c>
      <c r="B655" s="29" t="n">
        <v>45794</v>
      </c>
      <c r="C655" s="12" t="inlineStr">
        <is>
          <t>Control</t>
        </is>
      </c>
      <c r="D655" s="12" t="inlineStr">
        <is>
          <t>West</t>
        </is>
      </c>
      <c r="E655" s="12" t="inlineStr">
        <is>
          <t>Mobile</t>
        </is>
      </c>
      <c r="F655" s="12" t="inlineStr">
        <is>
          <t>Referral</t>
        </is>
      </c>
      <c r="G655" s="12" t="inlineStr">
        <is>
          <t>Premium</t>
        </is>
      </c>
      <c r="H655" s="12" t="n">
        <v>1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/>
      <c r="P655" s="12" t="n">
        <v>74.2</v>
      </c>
    </row>
    <row r="656">
      <c r="A656" s="12" t="inlineStr">
        <is>
          <t>USR-100655</t>
        </is>
      </c>
      <c r="B656" s="29" t="n">
        <v>45669</v>
      </c>
      <c r="C656" s="12" t="inlineStr">
        <is>
          <t>Control</t>
        </is>
      </c>
      <c r="D656" s="12" t="inlineStr">
        <is>
          <t>West</t>
        </is>
      </c>
      <c r="E656" s="12" t="inlineStr">
        <is>
          <t>Mobile</t>
        </is>
      </c>
      <c r="F656" s="12" t="inlineStr">
        <is>
          <t>Organic</t>
        </is>
      </c>
      <c r="G656" s="12" t="inlineStr">
        <is>
          <t>Free</t>
        </is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/>
      <c r="P656" s="12" t="n">
        <v>46.3</v>
      </c>
    </row>
    <row r="657">
      <c r="A657" s="12" t="inlineStr">
        <is>
          <t>USR-100656</t>
        </is>
      </c>
      <c r="B657" s="29" t="n">
        <v>45728</v>
      </c>
      <c r="C657" s="12" t="inlineStr">
        <is>
          <t>Control</t>
        </is>
      </c>
      <c r="D657" s="12" t="inlineStr">
        <is>
          <t>West</t>
        </is>
      </c>
      <c r="E657" s="12" t="inlineStr">
        <is>
          <t>Mobile</t>
        </is>
      </c>
      <c r="F657" s="12" t="inlineStr">
        <is>
          <t>Organic</t>
        </is>
      </c>
      <c r="G657" s="12" t="inlineStr">
        <is>
          <t>Premium</t>
        </is>
      </c>
      <c r="H657" s="12" t="n">
        <v>1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/>
      <c r="P657" s="12" t="n">
        <v>62</v>
      </c>
    </row>
    <row r="658">
      <c r="A658" s="12" t="inlineStr">
        <is>
          <t>USR-100657</t>
        </is>
      </c>
      <c r="B658" s="29" t="n">
        <v>45749</v>
      </c>
      <c r="C658" s="12" t="inlineStr">
        <is>
          <t>Control</t>
        </is>
      </c>
      <c r="D658" s="12" t="inlineStr">
        <is>
          <t>South</t>
        </is>
      </c>
      <c r="E658" s="12" t="inlineStr">
        <is>
          <t>Mobile</t>
        </is>
      </c>
      <c r="F658" s="12" t="inlineStr">
        <is>
          <t>Organic</t>
        </is>
      </c>
      <c r="G658" s="12" t="inlineStr">
        <is>
          <t>Basic</t>
        </is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/>
      <c r="P658" s="12" t="n">
        <v>55.6</v>
      </c>
    </row>
    <row r="659">
      <c r="A659" s="12" t="inlineStr">
        <is>
          <t>USR-100658</t>
        </is>
      </c>
      <c r="B659" s="29" t="n">
        <v>45670</v>
      </c>
      <c r="C659" s="12" t="inlineStr">
        <is>
          <t>Control</t>
        </is>
      </c>
      <c r="D659" s="12" t="inlineStr">
        <is>
          <t>South</t>
        </is>
      </c>
      <c r="E659" s="12" t="inlineStr">
        <is>
          <t>Mobile</t>
        </is>
      </c>
      <c r="F659" s="12" t="inlineStr">
        <is>
          <t>Organic</t>
        </is>
      </c>
      <c r="G659" s="12" t="inlineStr">
        <is>
          <t>Basic</t>
        </is>
      </c>
      <c r="H659" s="12" t="n">
        <v>1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/>
      <c r="P659" s="12" t="n">
        <v>62.8</v>
      </c>
    </row>
    <row r="660">
      <c r="A660" s="12" t="inlineStr">
        <is>
          <t>USR-100659</t>
        </is>
      </c>
      <c r="B660" s="29" t="n">
        <v>45723</v>
      </c>
      <c r="C660" s="12" t="inlineStr">
        <is>
          <t>Control</t>
        </is>
      </c>
      <c r="D660" s="12" t="inlineStr">
        <is>
          <t>East</t>
        </is>
      </c>
      <c r="E660" s="12" t="inlineStr">
        <is>
          <t>Mobile</t>
        </is>
      </c>
      <c r="F660" s="12" t="inlineStr">
        <is>
          <t>Referral</t>
        </is>
      </c>
      <c r="G660" s="12" t="inlineStr">
        <is>
          <t>Free</t>
        </is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/>
      <c r="P660" s="12" t="n">
        <v>73.09999999999999</v>
      </c>
    </row>
    <row r="661">
      <c r="A661" s="12" t="inlineStr">
        <is>
          <t>USR-100660</t>
        </is>
      </c>
      <c r="B661" s="29" t="n">
        <v>45767</v>
      </c>
      <c r="C661" s="12" t="inlineStr">
        <is>
          <t>Control</t>
        </is>
      </c>
      <c r="D661" s="12" t="inlineStr">
        <is>
          <t>South</t>
        </is>
      </c>
      <c r="E661" s="12" t="inlineStr">
        <is>
          <t>Desktop</t>
        </is>
      </c>
      <c r="F661" s="12" t="inlineStr">
        <is>
          <t>Social</t>
        </is>
      </c>
      <c r="G661" s="12" t="inlineStr">
        <is>
          <t>Free</t>
        </is>
      </c>
      <c r="H661" s="12" t="n">
        <v>1</v>
      </c>
      <c r="I661" s="12" t="n">
        <v>1</v>
      </c>
      <c r="J661" s="12" t="n">
        <v>1</v>
      </c>
      <c r="K661" s="12" t="n">
        <v>1</v>
      </c>
      <c r="L661" s="12" t="n">
        <v>347.52</v>
      </c>
      <c r="M661" s="12" t="n">
        <v>0</v>
      </c>
      <c r="N661" s="12" t="n">
        <v>0</v>
      </c>
      <c r="O661" s="12" t="n">
        <v>2</v>
      </c>
      <c r="P661" s="12" t="n">
        <v>57.2</v>
      </c>
    </row>
    <row r="662">
      <c r="A662" s="12" t="inlineStr">
        <is>
          <t>USR-100661</t>
        </is>
      </c>
      <c r="B662" s="29" t="n">
        <v>45664</v>
      </c>
      <c r="C662" s="12" t="inlineStr">
        <is>
          <t>Control</t>
        </is>
      </c>
      <c r="D662" s="12" t="inlineStr">
        <is>
          <t>South</t>
        </is>
      </c>
      <c r="E662" s="12" t="inlineStr">
        <is>
          <t>Mobile</t>
        </is>
      </c>
      <c r="F662" s="12" t="inlineStr">
        <is>
          <t>Paid Search</t>
        </is>
      </c>
      <c r="G662" s="12" t="inlineStr">
        <is>
          <t>Free</t>
        </is>
      </c>
      <c r="H662" s="12" t="n">
        <v>1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/>
      <c r="P662" s="12" t="n">
        <v>67.90000000000001</v>
      </c>
    </row>
    <row r="663">
      <c r="A663" s="12" t="inlineStr">
        <is>
          <t>USR-100662</t>
        </is>
      </c>
      <c r="B663" s="29" t="n">
        <v>45770</v>
      </c>
      <c r="C663" s="12" t="inlineStr">
        <is>
          <t>Control</t>
        </is>
      </c>
      <c r="D663" s="12" t="inlineStr">
        <is>
          <t>South</t>
        </is>
      </c>
      <c r="E663" s="12" t="inlineStr">
        <is>
          <t>Mobile</t>
        </is>
      </c>
      <c r="F663" s="12" t="inlineStr">
        <is>
          <t>Referral</t>
        </is>
      </c>
      <c r="G663" s="12" t="inlineStr">
        <is>
          <t>Free</t>
        </is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/>
      <c r="P663" s="12" t="n">
        <v>50.1</v>
      </c>
    </row>
    <row r="664">
      <c r="A664" s="12" t="inlineStr">
        <is>
          <t>USR-100663</t>
        </is>
      </c>
      <c r="B664" s="29" t="n">
        <v>45803</v>
      </c>
      <c r="C664" s="12" t="inlineStr">
        <is>
          <t>Control</t>
        </is>
      </c>
      <c r="D664" s="12" t="inlineStr">
        <is>
          <t>North</t>
        </is>
      </c>
      <c r="E664" s="12" t="inlineStr">
        <is>
          <t>Mobile</t>
        </is>
      </c>
      <c r="F664" s="12" t="inlineStr">
        <is>
          <t>Paid Search</t>
        </is>
      </c>
      <c r="G664" s="12" t="inlineStr">
        <is>
          <t>Basic</t>
        </is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/>
      <c r="P664" s="12" t="n">
        <v>67.8</v>
      </c>
    </row>
    <row r="665">
      <c r="A665" s="12" t="inlineStr">
        <is>
          <t>USR-100664</t>
        </is>
      </c>
      <c r="B665" s="29" t="n">
        <v>45733</v>
      </c>
      <c r="C665" s="12" t="inlineStr">
        <is>
          <t>Control</t>
        </is>
      </c>
      <c r="D665" s="12" t="inlineStr">
        <is>
          <t>North</t>
        </is>
      </c>
      <c r="E665" s="12" t="inlineStr">
        <is>
          <t>Desktop</t>
        </is>
      </c>
      <c r="F665" s="12" t="inlineStr">
        <is>
          <t>Social</t>
        </is>
      </c>
      <c r="G665" s="12" t="inlineStr">
        <is>
          <t>Basic</t>
        </is>
      </c>
      <c r="H665" s="12" t="n">
        <v>1</v>
      </c>
      <c r="I665" s="12" t="n">
        <v>1</v>
      </c>
      <c r="J665" s="12" t="n">
        <v>1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/>
      <c r="P665" s="12" t="n">
        <v>60.8</v>
      </c>
    </row>
    <row r="666">
      <c r="A666" s="12" t="inlineStr">
        <is>
          <t>USR-100665</t>
        </is>
      </c>
      <c r="B666" s="29" t="n">
        <v>45794</v>
      </c>
      <c r="C666" s="12" t="inlineStr">
        <is>
          <t>Control</t>
        </is>
      </c>
      <c r="D666" s="12" t="inlineStr">
        <is>
          <t>North</t>
        </is>
      </c>
      <c r="E666" s="12" t="inlineStr">
        <is>
          <t>Desktop</t>
        </is>
      </c>
      <c r="F666" s="12" t="inlineStr">
        <is>
          <t>Paid Search</t>
        </is>
      </c>
      <c r="G666" s="12" t="inlineStr">
        <is>
          <t>Basic</t>
        </is>
      </c>
      <c r="H666" s="12" t="n">
        <v>1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3</v>
      </c>
      <c r="N666" s="12" t="n">
        <v>0</v>
      </c>
      <c r="O666" s="12" t="n"/>
      <c r="P666" s="12" t="n">
        <v>33.7</v>
      </c>
    </row>
    <row r="667">
      <c r="A667" s="12" t="inlineStr">
        <is>
          <t>USR-100666</t>
        </is>
      </c>
      <c r="B667" s="29" t="n">
        <v>45709</v>
      </c>
      <c r="C667" s="12" t="inlineStr">
        <is>
          <t>Control</t>
        </is>
      </c>
      <c r="D667" s="12" t="inlineStr">
        <is>
          <t>North</t>
        </is>
      </c>
      <c r="E667" s="12" t="inlineStr">
        <is>
          <t>Mobile</t>
        </is>
      </c>
      <c r="F667" s="12" t="inlineStr">
        <is>
          <t>Paid Search</t>
        </is>
      </c>
      <c r="G667" s="12" t="inlineStr">
        <is>
          <t>Basic</t>
        </is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/>
      <c r="P667" s="12" t="n">
        <v>45.2</v>
      </c>
    </row>
    <row r="668">
      <c r="A668" s="12" t="inlineStr">
        <is>
          <t>USR-100667</t>
        </is>
      </c>
      <c r="B668" s="29" t="n">
        <v>45713</v>
      </c>
      <c r="C668" s="12" t="inlineStr">
        <is>
          <t>Control</t>
        </is>
      </c>
      <c r="D668" s="12" t="inlineStr">
        <is>
          <t>East</t>
        </is>
      </c>
      <c r="E668" s="12" t="inlineStr">
        <is>
          <t>Desktop</t>
        </is>
      </c>
      <c r="F668" s="12" t="inlineStr">
        <is>
          <t>Paid Search</t>
        </is>
      </c>
      <c r="G668" s="12" t="inlineStr">
        <is>
          <t>Premium</t>
        </is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/>
      <c r="P668" s="12" t="n">
        <v>48.2</v>
      </c>
    </row>
    <row r="669">
      <c r="A669" s="12" t="inlineStr">
        <is>
          <t>USR-100668</t>
        </is>
      </c>
      <c r="B669" s="29" t="n">
        <v>45687</v>
      </c>
      <c r="C669" s="12" t="inlineStr">
        <is>
          <t>Control</t>
        </is>
      </c>
      <c r="D669" s="12" t="inlineStr">
        <is>
          <t>South</t>
        </is>
      </c>
      <c r="E669" s="12" t="inlineStr">
        <is>
          <t>Mobile</t>
        </is>
      </c>
      <c r="F669" s="12" t="inlineStr">
        <is>
          <t>Social</t>
        </is>
      </c>
      <c r="G669" s="12" t="inlineStr">
        <is>
          <t>Free</t>
        </is>
      </c>
      <c r="H669" s="12" t="n">
        <v>1</v>
      </c>
      <c r="I669" s="12" t="n">
        <v>1</v>
      </c>
      <c r="J669" s="12" t="n">
        <v>0</v>
      </c>
      <c r="K669" s="12" t="n">
        <v>0</v>
      </c>
      <c r="L669" s="12" t="n">
        <v>0</v>
      </c>
      <c r="M669" s="12" t="n">
        <v>1</v>
      </c>
      <c r="N669" s="12" t="n">
        <v>0</v>
      </c>
      <c r="O669" s="12" t="n"/>
      <c r="P669" s="12" t="n">
        <v>44.8</v>
      </c>
    </row>
    <row r="670">
      <c r="A670" s="12" t="inlineStr">
        <is>
          <t>USR-100669</t>
        </is>
      </c>
      <c r="B670" s="29" t="n">
        <v>45705</v>
      </c>
      <c r="C670" s="12" t="inlineStr">
        <is>
          <t>Control</t>
        </is>
      </c>
      <c r="D670" s="12" t="inlineStr">
        <is>
          <t>North</t>
        </is>
      </c>
      <c r="E670" s="12" t="inlineStr">
        <is>
          <t>Tablet</t>
        </is>
      </c>
      <c r="F670" s="12" t="inlineStr">
        <is>
          <t>Social</t>
        </is>
      </c>
      <c r="G670" s="12" t="inlineStr">
        <is>
          <t>Basic</t>
        </is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/>
      <c r="P670" s="12" t="n">
        <v>52.1</v>
      </c>
    </row>
    <row r="671">
      <c r="A671" s="12" t="inlineStr">
        <is>
          <t>USR-100670</t>
        </is>
      </c>
      <c r="B671" s="29" t="n">
        <v>45794</v>
      </c>
      <c r="C671" s="12" t="inlineStr">
        <is>
          <t>Control</t>
        </is>
      </c>
      <c r="D671" s="12" t="inlineStr">
        <is>
          <t>North</t>
        </is>
      </c>
      <c r="E671" s="12" t="inlineStr">
        <is>
          <t>Desktop</t>
        </is>
      </c>
      <c r="F671" s="12" t="inlineStr">
        <is>
          <t>Paid Search</t>
        </is>
      </c>
      <c r="G671" s="12" t="inlineStr">
        <is>
          <t>Basic</t>
        </is>
      </c>
      <c r="H671" s="12" t="n">
        <v>1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/>
      <c r="P671" s="12" t="n">
        <v>30.7</v>
      </c>
    </row>
    <row r="672">
      <c r="A672" s="12" t="inlineStr">
        <is>
          <t>USR-100671</t>
        </is>
      </c>
      <c r="B672" s="29" t="n">
        <v>45777</v>
      </c>
      <c r="C672" s="12" t="inlineStr">
        <is>
          <t>Control</t>
        </is>
      </c>
      <c r="D672" s="12" t="inlineStr">
        <is>
          <t>East</t>
        </is>
      </c>
      <c r="E672" s="12" t="inlineStr">
        <is>
          <t>Desktop</t>
        </is>
      </c>
      <c r="F672" s="12" t="inlineStr">
        <is>
          <t>Paid Search</t>
        </is>
      </c>
      <c r="G672" s="12" t="inlineStr">
        <is>
          <t>Free</t>
        </is>
      </c>
      <c r="H672" s="12" t="n">
        <v>1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/>
      <c r="P672" s="12" t="n">
        <v>58.4</v>
      </c>
    </row>
    <row r="673">
      <c r="A673" s="12" t="inlineStr">
        <is>
          <t>USR-100672</t>
        </is>
      </c>
      <c r="B673" s="29" t="n">
        <v>45738</v>
      </c>
      <c r="C673" s="12" t="inlineStr">
        <is>
          <t>Control</t>
        </is>
      </c>
      <c r="D673" s="12" t="inlineStr">
        <is>
          <t>West</t>
        </is>
      </c>
      <c r="E673" s="12" t="inlineStr">
        <is>
          <t>Mobile</t>
        </is>
      </c>
      <c r="F673" s="12" t="inlineStr">
        <is>
          <t>Referral</t>
        </is>
      </c>
      <c r="G673" s="12" t="inlineStr">
        <is>
          <t>Free</t>
        </is>
      </c>
      <c r="H673" s="12" t="n">
        <v>1</v>
      </c>
      <c r="I673" s="12" t="n">
        <v>1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/>
      <c r="P673" s="12" t="n">
        <v>52.6</v>
      </c>
    </row>
    <row r="674">
      <c r="A674" s="12" t="inlineStr">
        <is>
          <t>USR-100673</t>
        </is>
      </c>
      <c r="B674" s="29" t="n">
        <v>45667</v>
      </c>
      <c r="C674" s="12" t="inlineStr">
        <is>
          <t>Control</t>
        </is>
      </c>
      <c r="D674" s="12" t="inlineStr">
        <is>
          <t>West</t>
        </is>
      </c>
      <c r="E674" s="12" t="n"/>
      <c r="F674" s="12" t="inlineStr">
        <is>
          <t>Paid Search</t>
        </is>
      </c>
      <c r="G674" s="12" t="inlineStr">
        <is>
          <t>Free</t>
        </is>
      </c>
      <c r="H674" s="12" t="n">
        <v>1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1</v>
      </c>
      <c r="N674" s="12" t="n">
        <v>0</v>
      </c>
      <c r="O674" s="12" t="n"/>
      <c r="P674" s="12" t="n">
        <v>19.1</v>
      </c>
    </row>
    <row r="675">
      <c r="A675" s="12" t="inlineStr">
        <is>
          <t>USR-100674</t>
        </is>
      </c>
      <c r="B675" s="29" t="n">
        <v>45737</v>
      </c>
      <c r="C675" s="12" t="inlineStr">
        <is>
          <t>Control</t>
        </is>
      </c>
      <c r="D675" s="12" t="inlineStr">
        <is>
          <t>South</t>
        </is>
      </c>
      <c r="E675" s="12" t="n"/>
      <c r="F675" s="12" t="inlineStr">
        <is>
          <t>Paid Search</t>
        </is>
      </c>
      <c r="G675" s="12" t="inlineStr">
        <is>
          <t>Free</t>
        </is>
      </c>
      <c r="H675" s="12" t="n">
        <v>1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/>
      <c r="P675" s="12" t="n">
        <v>36.8</v>
      </c>
    </row>
    <row r="676">
      <c r="A676" s="12" t="inlineStr">
        <is>
          <t>USR-100675</t>
        </is>
      </c>
      <c r="B676" s="29" t="n">
        <v>45789</v>
      </c>
      <c r="C676" s="12" t="inlineStr">
        <is>
          <t>Control</t>
        </is>
      </c>
      <c r="D676" s="12" t="inlineStr">
        <is>
          <t>North</t>
        </is>
      </c>
      <c r="E676" s="12" t="inlineStr">
        <is>
          <t>Desktop</t>
        </is>
      </c>
      <c r="F676" s="12" t="inlineStr">
        <is>
          <t>Paid Search</t>
        </is>
      </c>
      <c r="G676" s="12" t="inlineStr">
        <is>
          <t>Basic</t>
        </is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/>
      <c r="P676" s="12" t="n">
        <v>68.5</v>
      </c>
    </row>
    <row r="677">
      <c r="A677" s="12" t="inlineStr">
        <is>
          <t>USR-100676</t>
        </is>
      </c>
      <c r="B677" s="29" t="n">
        <v>45801</v>
      </c>
      <c r="C677" s="12" t="inlineStr">
        <is>
          <t>Control</t>
        </is>
      </c>
      <c r="D677" s="12" t="inlineStr">
        <is>
          <t>West</t>
        </is>
      </c>
      <c r="E677" s="12" t="inlineStr">
        <is>
          <t>Mobile</t>
        </is>
      </c>
      <c r="F677" s="12" t="inlineStr">
        <is>
          <t>Paid Search</t>
        </is>
      </c>
      <c r="G677" s="12" t="inlineStr">
        <is>
          <t>Free</t>
        </is>
      </c>
      <c r="H677" s="12" t="n">
        <v>1</v>
      </c>
      <c r="I677" s="12" t="n">
        <v>1</v>
      </c>
      <c r="J677" s="12" t="n">
        <v>1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/>
      <c r="P677" s="12" t="n">
        <v>40.1</v>
      </c>
    </row>
    <row r="678">
      <c r="A678" s="12" t="inlineStr">
        <is>
          <t>USR-100677</t>
        </is>
      </c>
      <c r="B678" s="29" t="n">
        <v>45780</v>
      </c>
      <c r="C678" s="12" t="inlineStr">
        <is>
          <t>Control</t>
        </is>
      </c>
      <c r="D678" s="12" t="inlineStr">
        <is>
          <t>West</t>
        </is>
      </c>
      <c r="E678" s="12" t="inlineStr">
        <is>
          <t>Tablet</t>
        </is>
      </c>
      <c r="F678" s="12" t="inlineStr">
        <is>
          <t>Organic</t>
        </is>
      </c>
      <c r="G678" s="12" t="inlineStr">
        <is>
          <t>Free</t>
        </is>
      </c>
      <c r="H678" s="12" t="n">
        <v>1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/>
      <c r="P678" s="12" t="n">
        <v>47.5</v>
      </c>
    </row>
    <row r="679">
      <c r="A679" s="12" t="inlineStr">
        <is>
          <t>USR-100678</t>
        </is>
      </c>
      <c r="B679" s="29" t="n">
        <v>45671</v>
      </c>
      <c r="C679" s="12" t="inlineStr">
        <is>
          <t>Control</t>
        </is>
      </c>
      <c r="D679" s="12" t="inlineStr">
        <is>
          <t>South</t>
        </is>
      </c>
      <c r="E679" s="12" t="inlineStr">
        <is>
          <t>Mobile</t>
        </is>
      </c>
      <c r="F679" s="12" t="inlineStr">
        <is>
          <t>Organic</t>
        </is>
      </c>
      <c r="G679" s="12" t="inlineStr">
        <is>
          <t>Basic</t>
        </is>
      </c>
      <c r="H679" s="12" t="n">
        <v>1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/>
      <c r="P679" s="12" t="n">
        <v>77.09999999999999</v>
      </c>
    </row>
    <row r="680">
      <c r="A680" s="12" t="inlineStr">
        <is>
          <t>USR-100679</t>
        </is>
      </c>
      <c r="B680" s="29" t="n">
        <v>45743</v>
      </c>
      <c r="C680" s="12" t="inlineStr">
        <is>
          <t>Control</t>
        </is>
      </c>
      <c r="D680" s="12" t="inlineStr">
        <is>
          <t>West</t>
        </is>
      </c>
      <c r="E680" s="12" t="inlineStr">
        <is>
          <t>Mobile</t>
        </is>
      </c>
      <c r="F680" s="12" t="inlineStr">
        <is>
          <t>Social</t>
        </is>
      </c>
      <c r="G680" s="12" t="inlineStr">
        <is>
          <t>Basic</t>
        </is>
      </c>
      <c r="H680" s="12" t="n">
        <v>1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/>
      <c r="P680" s="12" t="n">
        <v>75.90000000000001</v>
      </c>
    </row>
    <row r="681">
      <c r="A681" s="12" t="inlineStr">
        <is>
          <t>USR-100680</t>
        </is>
      </c>
      <c r="B681" s="29" t="n">
        <v>45716</v>
      </c>
      <c r="C681" s="12" t="inlineStr">
        <is>
          <t>Control</t>
        </is>
      </c>
      <c r="D681" s="12" t="inlineStr">
        <is>
          <t>North</t>
        </is>
      </c>
      <c r="E681" s="12" t="inlineStr">
        <is>
          <t>Desktop</t>
        </is>
      </c>
      <c r="F681" s="12" t="inlineStr">
        <is>
          <t>Referral</t>
        </is>
      </c>
      <c r="G681" s="12" t="inlineStr">
        <is>
          <t>Premium</t>
        </is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1</v>
      </c>
      <c r="N681" s="12" t="n">
        <v>0</v>
      </c>
      <c r="O681" s="12" t="n"/>
      <c r="P681" s="12" t="n">
        <v>52</v>
      </c>
    </row>
    <row r="682">
      <c r="A682" s="12" t="inlineStr">
        <is>
          <t>USR-100681</t>
        </is>
      </c>
      <c r="B682" s="29" t="n">
        <v>45789</v>
      </c>
      <c r="C682" s="12" t="inlineStr">
        <is>
          <t>Control</t>
        </is>
      </c>
      <c r="D682" s="12" t="inlineStr">
        <is>
          <t>West</t>
        </is>
      </c>
      <c r="E682" s="12" t="inlineStr">
        <is>
          <t>Desktop</t>
        </is>
      </c>
      <c r="F682" s="12" t="inlineStr">
        <is>
          <t>Referral</t>
        </is>
      </c>
      <c r="G682" s="12" t="inlineStr">
        <is>
          <t>Premium</t>
        </is>
      </c>
      <c r="H682" s="12" t="n">
        <v>1</v>
      </c>
      <c r="I682" s="12" t="n">
        <v>1</v>
      </c>
      <c r="J682" s="12" t="n">
        <v>1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/>
      <c r="P682" s="12" t="n">
        <v>64.90000000000001</v>
      </c>
    </row>
    <row r="683">
      <c r="A683" s="12" t="inlineStr">
        <is>
          <t>USR-100682</t>
        </is>
      </c>
      <c r="B683" s="29" t="n">
        <v>45730</v>
      </c>
      <c r="C683" s="12" t="inlineStr">
        <is>
          <t>Control</t>
        </is>
      </c>
      <c r="D683" s="12" t="inlineStr">
        <is>
          <t>North</t>
        </is>
      </c>
      <c r="E683" s="12" t="inlineStr">
        <is>
          <t>Mobile</t>
        </is>
      </c>
      <c r="F683" s="12" t="inlineStr">
        <is>
          <t>Organic</t>
        </is>
      </c>
      <c r="G683" s="12" t="inlineStr">
        <is>
          <t>Free</t>
        </is>
      </c>
      <c r="H683" s="12" t="n">
        <v>1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/>
      <c r="P683" s="12" t="n">
        <v>48.2</v>
      </c>
    </row>
    <row r="684">
      <c r="A684" s="12" t="inlineStr">
        <is>
          <t>USR-100683</t>
        </is>
      </c>
      <c r="B684" s="29" t="n">
        <v>45797</v>
      </c>
      <c r="C684" s="12" t="inlineStr">
        <is>
          <t>Control</t>
        </is>
      </c>
      <c r="D684" s="12" t="inlineStr">
        <is>
          <t>East</t>
        </is>
      </c>
      <c r="E684" s="12" t="inlineStr">
        <is>
          <t>Mobile</t>
        </is>
      </c>
      <c r="F684" s="12" t="inlineStr">
        <is>
          <t>Organic</t>
        </is>
      </c>
      <c r="G684" s="12" t="inlineStr">
        <is>
          <t>Basic</t>
        </is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/>
      <c r="P684" s="12" t="n">
        <v>42.1</v>
      </c>
    </row>
    <row r="685">
      <c r="A685" s="12" t="inlineStr">
        <is>
          <t>USR-100684</t>
        </is>
      </c>
      <c r="B685" s="29" t="n">
        <v>45712</v>
      </c>
      <c r="C685" s="12" t="inlineStr">
        <is>
          <t>Control</t>
        </is>
      </c>
      <c r="D685" s="12" t="inlineStr">
        <is>
          <t>South</t>
        </is>
      </c>
      <c r="E685" s="12" t="inlineStr">
        <is>
          <t>Desktop</t>
        </is>
      </c>
      <c r="F685" s="12" t="inlineStr">
        <is>
          <t>Referral</t>
        </is>
      </c>
      <c r="G685" s="12" t="inlineStr">
        <is>
          <t>Free</t>
        </is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/>
      <c r="P685" s="12" t="n">
        <v>27.6</v>
      </c>
    </row>
    <row r="686">
      <c r="A686" s="12" t="inlineStr">
        <is>
          <t>USR-100685</t>
        </is>
      </c>
      <c r="B686" s="29" t="n">
        <v>45701</v>
      </c>
      <c r="C686" s="12" t="inlineStr">
        <is>
          <t>Control</t>
        </is>
      </c>
      <c r="D686" s="12" t="inlineStr">
        <is>
          <t>West</t>
        </is>
      </c>
      <c r="E686" s="12" t="inlineStr">
        <is>
          <t>Mobile</t>
        </is>
      </c>
      <c r="F686" s="12" t="inlineStr">
        <is>
          <t>Organic</t>
        </is>
      </c>
      <c r="G686" s="12" t="inlineStr">
        <is>
          <t>Premium</t>
        </is>
      </c>
      <c r="H686" s="12" t="n">
        <v>1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1</v>
      </c>
      <c r="N686" s="12" t="n">
        <v>0</v>
      </c>
      <c r="O686" s="12" t="n"/>
      <c r="P686" s="12" t="n">
        <v>68.5</v>
      </c>
    </row>
    <row r="687">
      <c r="A687" s="12" t="inlineStr">
        <is>
          <t>USR-100686</t>
        </is>
      </c>
      <c r="B687" s="29" t="n">
        <v>45694</v>
      </c>
      <c r="C687" s="12" t="inlineStr">
        <is>
          <t>Control</t>
        </is>
      </c>
      <c r="D687" s="12" t="inlineStr">
        <is>
          <t>South</t>
        </is>
      </c>
      <c r="E687" s="12" t="inlineStr">
        <is>
          <t>Desktop</t>
        </is>
      </c>
      <c r="F687" s="12" t="inlineStr">
        <is>
          <t>Organic</t>
        </is>
      </c>
      <c r="G687" s="12" t="inlineStr">
        <is>
          <t>Free</t>
        </is>
      </c>
      <c r="H687" s="12" t="n">
        <v>1</v>
      </c>
      <c r="I687" s="12" t="n">
        <v>1</v>
      </c>
      <c r="J687" s="12" t="n">
        <v>1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/>
      <c r="P687" s="12" t="n">
        <v>59.2</v>
      </c>
    </row>
    <row r="688">
      <c r="A688" s="12" t="inlineStr">
        <is>
          <t>USR-100687</t>
        </is>
      </c>
      <c r="B688" s="29" t="n">
        <v>45718</v>
      </c>
      <c r="C688" s="12" t="inlineStr">
        <is>
          <t>Control</t>
        </is>
      </c>
      <c r="D688" s="12" t="inlineStr">
        <is>
          <t>North</t>
        </is>
      </c>
      <c r="E688" s="12" t="inlineStr">
        <is>
          <t>Mobile</t>
        </is>
      </c>
      <c r="F688" s="12" t="inlineStr">
        <is>
          <t>Social</t>
        </is>
      </c>
      <c r="G688" s="12" t="inlineStr">
        <is>
          <t>Basic</t>
        </is>
      </c>
      <c r="H688" s="12" t="n">
        <v>1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/>
      <c r="P688" s="12" t="n">
        <v>63.3</v>
      </c>
    </row>
    <row r="689">
      <c r="A689" s="12" t="inlineStr">
        <is>
          <t>USR-100688</t>
        </is>
      </c>
      <c r="B689" s="29" t="n">
        <v>45775</v>
      </c>
      <c r="C689" s="12" t="inlineStr">
        <is>
          <t>Control</t>
        </is>
      </c>
      <c r="D689" s="12" t="inlineStr">
        <is>
          <t>East</t>
        </is>
      </c>
      <c r="E689" s="12" t="inlineStr">
        <is>
          <t>Desktop</t>
        </is>
      </c>
      <c r="F689" s="12" t="inlineStr">
        <is>
          <t>Paid Search</t>
        </is>
      </c>
      <c r="G689" s="12" t="inlineStr">
        <is>
          <t>Free</t>
        </is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/>
      <c r="P689" s="12" t="n">
        <v>55</v>
      </c>
    </row>
    <row r="690">
      <c r="A690" s="12" t="inlineStr">
        <is>
          <t>USR-100689</t>
        </is>
      </c>
      <c r="B690" s="29" t="n">
        <v>45804</v>
      </c>
      <c r="C690" s="12" t="inlineStr">
        <is>
          <t>Control</t>
        </is>
      </c>
      <c r="D690" s="12" t="inlineStr">
        <is>
          <t>North</t>
        </is>
      </c>
      <c r="E690" s="12" t="inlineStr">
        <is>
          <t>Desktop</t>
        </is>
      </c>
      <c r="F690" s="12" t="n"/>
      <c r="G690" s="12" t="inlineStr">
        <is>
          <t>Premium</t>
        </is>
      </c>
      <c r="H690" s="12" t="n">
        <v>1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/>
      <c r="P690" s="12" t="n">
        <v>64.8</v>
      </c>
    </row>
    <row r="691">
      <c r="A691" s="12" t="inlineStr">
        <is>
          <t>USR-100690</t>
        </is>
      </c>
      <c r="B691" s="29" t="n">
        <v>45754</v>
      </c>
      <c r="C691" s="12" t="inlineStr">
        <is>
          <t>Control</t>
        </is>
      </c>
      <c r="D691" s="12" t="inlineStr">
        <is>
          <t>South</t>
        </is>
      </c>
      <c r="E691" s="12" t="inlineStr">
        <is>
          <t>Desktop</t>
        </is>
      </c>
      <c r="F691" s="12" t="inlineStr">
        <is>
          <t>Organic</t>
        </is>
      </c>
      <c r="G691" s="12" t="inlineStr">
        <is>
          <t>Basic</t>
        </is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2</v>
      </c>
      <c r="N691" s="12" t="n">
        <v>0</v>
      </c>
      <c r="O691" s="12" t="n"/>
      <c r="P691" s="12" t="n">
        <v>41.8</v>
      </c>
    </row>
    <row r="692">
      <c r="A692" s="12" t="inlineStr">
        <is>
          <t>USR-100691</t>
        </is>
      </c>
      <c r="B692" s="29" t="n">
        <v>45761</v>
      </c>
      <c r="C692" s="12" t="inlineStr">
        <is>
          <t>Treatment</t>
        </is>
      </c>
      <c r="D692" s="12" t="inlineStr">
        <is>
          <t>East</t>
        </is>
      </c>
      <c r="E692" s="12" t="inlineStr">
        <is>
          <t>Desktop</t>
        </is>
      </c>
      <c r="F692" s="12" t="inlineStr">
        <is>
          <t>Social</t>
        </is>
      </c>
      <c r="G692" s="12" t="inlineStr">
        <is>
          <t>Basic</t>
        </is>
      </c>
      <c r="H692" s="12" t="n">
        <v>1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/>
      <c r="P692" s="12" t="n">
        <v>73.2</v>
      </c>
    </row>
    <row r="693">
      <c r="A693" s="12" t="inlineStr">
        <is>
          <t>USR-100692</t>
        </is>
      </c>
      <c r="B693" s="29" t="n">
        <v>45786</v>
      </c>
      <c r="C693" s="12" t="inlineStr">
        <is>
          <t>Treatment</t>
        </is>
      </c>
      <c r="D693" s="12" t="inlineStr">
        <is>
          <t>East</t>
        </is>
      </c>
      <c r="E693" s="12" t="inlineStr">
        <is>
          <t>Desktop</t>
        </is>
      </c>
      <c r="F693" s="12" t="inlineStr">
        <is>
          <t>Organic</t>
        </is>
      </c>
      <c r="G693" s="12" t="inlineStr">
        <is>
          <t>Basic</t>
        </is>
      </c>
      <c r="H693" s="12" t="n">
        <v>1</v>
      </c>
      <c r="I693" s="12" t="n">
        <v>1</v>
      </c>
      <c r="J693" s="12" t="n">
        <v>1</v>
      </c>
      <c r="K693" s="12" t="n">
        <v>0</v>
      </c>
      <c r="L693" s="12" t="n">
        <v>0</v>
      </c>
      <c r="M693" s="12" t="n">
        <v>3</v>
      </c>
      <c r="N693" s="12" t="n">
        <v>0</v>
      </c>
      <c r="O693" s="12" t="n"/>
      <c r="P693" s="12" t="n">
        <v>55.7</v>
      </c>
    </row>
    <row r="694">
      <c r="A694" s="12" t="inlineStr">
        <is>
          <t>USR-100693</t>
        </is>
      </c>
      <c r="B694" s="29" t="n">
        <v>45737</v>
      </c>
      <c r="C694" s="12" t="inlineStr">
        <is>
          <t>Treatment</t>
        </is>
      </c>
      <c r="D694" s="12" t="inlineStr">
        <is>
          <t>North</t>
        </is>
      </c>
      <c r="E694" s="12" t="inlineStr">
        <is>
          <t>Mobile</t>
        </is>
      </c>
      <c r="F694" s="12" t="inlineStr">
        <is>
          <t>Organic</t>
        </is>
      </c>
      <c r="G694" s="12" t="inlineStr">
        <is>
          <t>Free</t>
        </is>
      </c>
      <c r="H694" s="12" t="n">
        <v>1</v>
      </c>
      <c r="I694" s="12" t="n">
        <v>1</v>
      </c>
      <c r="J694" s="12" t="n">
        <v>1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/>
      <c r="P694" s="12" t="n">
        <v>82.8</v>
      </c>
    </row>
    <row r="695">
      <c r="A695" s="12" t="inlineStr">
        <is>
          <t>USR-100694</t>
        </is>
      </c>
      <c r="B695" s="29" t="n">
        <v>45743</v>
      </c>
      <c r="C695" s="12" t="inlineStr">
        <is>
          <t>Treatment</t>
        </is>
      </c>
      <c r="D695" s="12" t="inlineStr">
        <is>
          <t>North</t>
        </is>
      </c>
      <c r="E695" s="12" t="inlineStr">
        <is>
          <t>Desktop</t>
        </is>
      </c>
      <c r="F695" s="12" t="inlineStr">
        <is>
          <t>Social</t>
        </is>
      </c>
      <c r="G695" s="12" t="inlineStr">
        <is>
          <t>Free</t>
        </is>
      </c>
      <c r="H695" s="12" t="n">
        <v>1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/>
      <c r="P695" s="12" t="n"/>
    </row>
    <row r="696">
      <c r="A696" s="12" t="inlineStr">
        <is>
          <t>USR-100695</t>
        </is>
      </c>
      <c r="B696" s="29" t="n">
        <v>45678</v>
      </c>
      <c r="C696" s="12" t="inlineStr">
        <is>
          <t>Treatment</t>
        </is>
      </c>
      <c r="D696" s="12" t="inlineStr">
        <is>
          <t>South</t>
        </is>
      </c>
      <c r="E696" s="12" t="inlineStr">
        <is>
          <t>Mobile</t>
        </is>
      </c>
      <c r="F696" s="12" t="inlineStr">
        <is>
          <t>Paid Search</t>
        </is>
      </c>
      <c r="G696" s="12" t="inlineStr">
        <is>
          <t>Free</t>
        </is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/>
      <c r="P696" s="12" t="n">
        <v>34.4</v>
      </c>
    </row>
    <row r="697">
      <c r="A697" s="12" t="inlineStr">
        <is>
          <t>USR-100696</t>
        </is>
      </c>
      <c r="B697" s="29" t="n">
        <v>45735</v>
      </c>
      <c r="C697" s="12" t="inlineStr">
        <is>
          <t>Treatment</t>
        </is>
      </c>
      <c r="D697" s="12" t="inlineStr">
        <is>
          <t>East</t>
        </is>
      </c>
      <c r="E697" s="12" t="inlineStr">
        <is>
          <t>Desktop</t>
        </is>
      </c>
      <c r="F697" s="12" t="inlineStr">
        <is>
          <t>Email</t>
        </is>
      </c>
      <c r="G697" s="12" t="inlineStr">
        <is>
          <t>Free</t>
        </is>
      </c>
      <c r="H697" s="12" t="n">
        <v>1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/>
      <c r="P697" s="12" t="n">
        <v>45.2</v>
      </c>
    </row>
    <row r="698">
      <c r="A698" s="12" t="inlineStr">
        <is>
          <t>USR-100697</t>
        </is>
      </c>
      <c r="B698" s="29" t="n">
        <v>45804</v>
      </c>
      <c r="C698" s="12" t="inlineStr">
        <is>
          <t>Treatment</t>
        </is>
      </c>
      <c r="D698" s="12" t="inlineStr">
        <is>
          <t>North</t>
        </is>
      </c>
      <c r="E698" s="12" t="inlineStr">
        <is>
          <t>Mobile</t>
        </is>
      </c>
      <c r="F698" s="12" t="inlineStr">
        <is>
          <t>Organic</t>
        </is>
      </c>
      <c r="G698" s="12" t="inlineStr">
        <is>
          <t>Basic</t>
        </is>
      </c>
      <c r="H698" s="12" t="n">
        <v>1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/>
      <c r="P698" s="12" t="n">
        <v>71.59999999999999</v>
      </c>
    </row>
    <row r="699">
      <c r="A699" s="12" t="inlineStr">
        <is>
          <t>USR-100698</t>
        </is>
      </c>
      <c r="B699" s="29" t="n">
        <v>45658</v>
      </c>
      <c r="C699" s="12" t="inlineStr">
        <is>
          <t>Treatment</t>
        </is>
      </c>
      <c r="D699" s="12" t="inlineStr">
        <is>
          <t>North</t>
        </is>
      </c>
      <c r="E699" s="12" t="inlineStr">
        <is>
          <t>Mobile</t>
        </is>
      </c>
      <c r="F699" s="12" t="inlineStr">
        <is>
          <t>Social</t>
        </is>
      </c>
      <c r="G699" s="12" t="inlineStr">
        <is>
          <t>Free</t>
        </is>
      </c>
      <c r="H699" s="12" t="n">
        <v>1</v>
      </c>
      <c r="I699" s="12" t="n">
        <v>1</v>
      </c>
      <c r="J699" s="12" t="n">
        <v>1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/>
      <c r="P699" s="12" t="n">
        <v>69.09999999999999</v>
      </c>
    </row>
    <row r="700">
      <c r="A700" s="12" t="inlineStr">
        <is>
          <t>USR-100699</t>
        </is>
      </c>
      <c r="B700" s="29" t="n">
        <v>45745</v>
      </c>
      <c r="C700" s="12" t="inlineStr">
        <is>
          <t>Treatment</t>
        </is>
      </c>
      <c r="D700" s="12" t="inlineStr">
        <is>
          <t>West</t>
        </is>
      </c>
      <c r="E700" s="12" t="inlineStr">
        <is>
          <t>Desktop</t>
        </is>
      </c>
      <c r="F700" s="12" t="inlineStr">
        <is>
          <t>Paid Search</t>
        </is>
      </c>
      <c r="G700" s="12" t="inlineStr">
        <is>
          <t>Premium</t>
        </is>
      </c>
      <c r="H700" s="12" t="n">
        <v>1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1</v>
      </c>
      <c r="N700" s="12" t="n">
        <v>0</v>
      </c>
      <c r="O700" s="12" t="n"/>
      <c r="P700" s="12" t="n">
        <v>37.7</v>
      </c>
    </row>
    <row r="701">
      <c r="A701" s="12" t="inlineStr">
        <is>
          <t>USR-100700</t>
        </is>
      </c>
      <c r="B701" s="29" t="n">
        <v>45733</v>
      </c>
      <c r="C701" s="12" t="inlineStr">
        <is>
          <t>Treatment</t>
        </is>
      </c>
      <c r="D701" s="12" t="inlineStr">
        <is>
          <t>West</t>
        </is>
      </c>
      <c r="E701" s="12" t="inlineStr">
        <is>
          <t>Desktop</t>
        </is>
      </c>
      <c r="F701" s="12" t="inlineStr">
        <is>
          <t>Organic</t>
        </is>
      </c>
      <c r="G701" s="12" t="inlineStr">
        <is>
          <t>Basic</t>
        </is>
      </c>
      <c r="H701" s="12" t="n">
        <v>1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1</v>
      </c>
      <c r="N701" s="12" t="n">
        <v>0</v>
      </c>
      <c r="O701" s="12" t="n"/>
      <c r="P701" s="12" t="n">
        <v>60.8</v>
      </c>
    </row>
    <row r="702">
      <c r="A702" s="12" t="inlineStr">
        <is>
          <t>USR-100701</t>
        </is>
      </c>
      <c r="B702" s="29" t="n">
        <v>45782</v>
      </c>
      <c r="C702" s="12" t="inlineStr">
        <is>
          <t>Treatment</t>
        </is>
      </c>
      <c r="D702" s="12" t="inlineStr">
        <is>
          <t>North</t>
        </is>
      </c>
      <c r="E702" s="12" t="inlineStr">
        <is>
          <t>Mobile</t>
        </is>
      </c>
      <c r="F702" s="12" t="inlineStr">
        <is>
          <t>Organic</t>
        </is>
      </c>
      <c r="G702" s="12" t="inlineStr">
        <is>
          <t>Free</t>
        </is>
      </c>
      <c r="H702" s="12" t="n">
        <v>1</v>
      </c>
      <c r="I702" s="12" t="n">
        <v>1</v>
      </c>
      <c r="J702" s="12" t="n">
        <v>1</v>
      </c>
      <c r="K702" s="12" t="n">
        <v>1</v>
      </c>
      <c r="L702" s="12" t="n">
        <v>444.13</v>
      </c>
      <c r="M702" s="12" t="n">
        <v>0</v>
      </c>
      <c r="N702" s="12" t="n">
        <v>0</v>
      </c>
      <c r="O702" s="12" t="n">
        <v>10</v>
      </c>
      <c r="P702" s="12" t="n">
        <v>80.7</v>
      </c>
    </row>
    <row r="703">
      <c r="A703" s="12" t="inlineStr">
        <is>
          <t>USR-100702</t>
        </is>
      </c>
      <c r="B703" s="29" t="n">
        <v>45781</v>
      </c>
      <c r="C703" s="12" t="inlineStr">
        <is>
          <t>Treatment</t>
        </is>
      </c>
      <c r="D703" s="12" t="inlineStr">
        <is>
          <t>South</t>
        </is>
      </c>
      <c r="E703" s="12" t="inlineStr">
        <is>
          <t>Mobile</t>
        </is>
      </c>
      <c r="F703" s="12" t="inlineStr">
        <is>
          <t>Social</t>
        </is>
      </c>
      <c r="G703" s="12" t="inlineStr">
        <is>
          <t>Free</t>
        </is>
      </c>
      <c r="H703" s="12" t="n">
        <v>1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/>
      <c r="P703" s="12" t="n">
        <v>69.2</v>
      </c>
    </row>
    <row r="704">
      <c r="A704" s="12" t="inlineStr">
        <is>
          <t>USR-100703</t>
        </is>
      </c>
      <c r="B704" s="29" t="n">
        <v>45741</v>
      </c>
      <c r="C704" s="12" t="inlineStr">
        <is>
          <t>Treatment</t>
        </is>
      </c>
      <c r="D704" s="12" t="inlineStr">
        <is>
          <t>North</t>
        </is>
      </c>
      <c r="E704" s="12" t="inlineStr">
        <is>
          <t>Mobile</t>
        </is>
      </c>
      <c r="F704" s="12" t="inlineStr">
        <is>
          <t>Social</t>
        </is>
      </c>
      <c r="G704" s="12" t="inlineStr">
        <is>
          <t>Premium</t>
        </is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3</v>
      </c>
      <c r="N704" s="12" t="n">
        <v>0</v>
      </c>
      <c r="O704" s="12" t="n"/>
      <c r="P704" s="12" t="n">
        <v>55</v>
      </c>
    </row>
    <row r="705">
      <c r="A705" s="12" t="inlineStr">
        <is>
          <t>USR-100704</t>
        </is>
      </c>
      <c r="B705" s="29" t="n">
        <v>45764</v>
      </c>
      <c r="C705" s="12" t="inlineStr">
        <is>
          <t>Treatment</t>
        </is>
      </c>
      <c r="D705" s="12" t="inlineStr">
        <is>
          <t>West</t>
        </is>
      </c>
      <c r="E705" s="12" t="inlineStr">
        <is>
          <t>Mobile</t>
        </is>
      </c>
      <c r="F705" s="12" t="inlineStr">
        <is>
          <t>Email</t>
        </is>
      </c>
      <c r="G705" s="12" t="inlineStr">
        <is>
          <t>Free</t>
        </is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1</v>
      </c>
      <c r="N705" s="12" t="n">
        <v>0</v>
      </c>
      <c r="O705" s="12" t="n"/>
      <c r="P705" s="12" t="n">
        <v>73.59999999999999</v>
      </c>
    </row>
    <row r="706">
      <c r="A706" s="12" t="inlineStr">
        <is>
          <t>USR-100705</t>
        </is>
      </c>
      <c r="B706" s="29" t="n">
        <v>45800</v>
      </c>
      <c r="C706" s="12" t="inlineStr">
        <is>
          <t>Treatment</t>
        </is>
      </c>
      <c r="D706" s="12" t="inlineStr">
        <is>
          <t>South</t>
        </is>
      </c>
      <c r="E706" s="12" t="inlineStr">
        <is>
          <t>Mobile</t>
        </is>
      </c>
      <c r="F706" s="12" t="inlineStr">
        <is>
          <t>Referral</t>
        </is>
      </c>
      <c r="G706" s="12" t="inlineStr">
        <is>
          <t>Basic</t>
        </is>
      </c>
      <c r="H706" s="12" t="n">
        <v>1</v>
      </c>
      <c r="I706" s="12" t="n">
        <v>1</v>
      </c>
      <c r="J706" s="12" t="n">
        <v>1</v>
      </c>
      <c r="K706" s="12" t="n">
        <v>0</v>
      </c>
      <c r="L706" s="12" t="n">
        <v>0</v>
      </c>
      <c r="M706" s="12" t="n">
        <v>1</v>
      </c>
      <c r="N706" s="12" t="n">
        <v>0</v>
      </c>
      <c r="O706" s="12" t="n"/>
      <c r="P706" s="12" t="n">
        <v>47.3</v>
      </c>
    </row>
    <row r="707">
      <c r="A707" s="12" t="inlineStr">
        <is>
          <t>USR-100706</t>
        </is>
      </c>
      <c r="B707" s="29" t="n">
        <v>45670</v>
      </c>
      <c r="C707" s="12" t="inlineStr">
        <is>
          <t>Treatment</t>
        </is>
      </c>
      <c r="D707" s="12" t="inlineStr">
        <is>
          <t>North</t>
        </is>
      </c>
      <c r="E707" s="12" t="inlineStr">
        <is>
          <t>Mobile</t>
        </is>
      </c>
      <c r="F707" s="12" t="inlineStr">
        <is>
          <t>Organic</t>
        </is>
      </c>
      <c r="G707" s="12" t="inlineStr">
        <is>
          <t>Basic</t>
        </is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/>
      <c r="P707" s="12" t="n">
        <v>43.6</v>
      </c>
    </row>
    <row r="708">
      <c r="A708" s="12" t="inlineStr">
        <is>
          <t>USR-100707</t>
        </is>
      </c>
      <c r="B708" s="29" t="n">
        <v>45686</v>
      </c>
      <c r="C708" s="12" t="inlineStr">
        <is>
          <t>Treatment</t>
        </is>
      </c>
      <c r="D708" s="12" t="inlineStr">
        <is>
          <t>North</t>
        </is>
      </c>
      <c r="E708" s="12" t="inlineStr">
        <is>
          <t>Desktop</t>
        </is>
      </c>
      <c r="F708" s="12" t="inlineStr">
        <is>
          <t>Organic</t>
        </is>
      </c>
      <c r="G708" s="12" t="inlineStr">
        <is>
          <t>Basic</t>
        </is>
      </c>
      <c r="H708" s="12" t="n">
        <v>1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/>
      <c r="P708" s="12" t="n"/>
    </row>
    <row r="709">
      <c r="A709" s="12" t="inlineStr">
        <is>
          <t>USR-100708</t>
        </is>
      </c>
      <c r="B709" s="29" t="n">
        <v>45788</v>
      </c>
      <c r="C709" s="12" t="inlineStr">
        <is>
          <t>Treatment</t>
        </is>
      </c>
      <c r="D709" s="12" t="inlineStr">
        <is>
          <t>South</t>
        </is>
      </c>
      <c r="E709" s="12" t="inlineStr">
        <is>
          <t>Mobile</t>
        </is>
      </c>
      <c r="F709" s="12" t="inlineStr">
        <is>
          <t>Email</t>
        </is>
      </c>
      <c r="G709" s="12" t="inlineStr">
        <is>
          <t>Free</t>
        </is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/>
      <c r="P709" s="12" t="n">
        <v>55.2</v>
      </c>
    </row>
    <row r="710">
      <c r="A710" s="12" t="inlineStr">
        <is>
          <t>USR-100709</t>
        </is>
      </c>
      <c r="B710" s="29" t="n">
        <v>45769</v>
      </c>
      <c r="C710" s="12" t="inlineStr">
        <is>
          <t>Treatment</t>
        </is>
      </c>
      <c r="D710" s="12" t="inlineStr">
        <is>
          <t>South</t>
        </is>
      </c>
      <c r="E710" s="12" t="inlineStr">
        <is>
          <t>Mobile</t>
        </is>
      </c>
      <c r="F710" s="12" t="inlineStr">
        <is>
          <t>Organic</t>
        </is>
      </c>
      <c r="G710" s="12" t="inlineStr">
        <is>
          <t>Basic</t>
        </is>
      </c>
      <c r="H710" s="12" t="n">
        <v>1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/>
      <c r="P710" s="12" t="n">
        <v>49.4</v>
      </c>
    </row>
    <row r="711">
      <c r="A711" s="12" t="inlineStr">
        <is>
          <t>USR-100710</t>
        </is>
      </c>
      <c r="B711" s="29" t="n">
        <v>45719</v>
      </c>
      <c r="C711" s="12" t="inlineStr">
        <is>
          <t>Treatment</t>
        </is>
      </c>
      <c r="D711" s="12" t="inlineStr">
        <is>
          <t>South</t>
        </is>
      </c>
      <c r="E711" s="12" t="inlineStr">
        <is>
          <t>Mobile</t>
        </is>
      </c>
      <c r="F711" s="12" t="inlineStr">
        <is>
          <t>Social</t>
        </is>
      </c>
      <c r="G711" s="12" t="inlineStr">
        <is>
          <t>Free</t>
        </is>
      </c>
      <c r="H711" s="12" t="n">
        <v>1</v>
      </c>
      <c r="I711" s="12" t="n">
        <v>1</v>
      </c>
      <c r="J711" s="12" t="n">
        <v>1</v>
      </c>
      <c r="K711" s="12" t="n">
        <v>0</v>
      </c>
      <c r="L711" s="12" t="n">
        <v>0</v>
      </c>
      <c r="M711" s="12" t="n">
        <v>1</v>
      </c>
      <c r="N711" s="12" t="n">
        <v>0</v>
      </c>
      <c r="O711" s="12" t="n"/>
      <c r="P711" s="12" t="n">
        <v>60.1</v>
      </c>
    </row>
    <row r="712">
      <c r="A712" s="12" t="inlineStr">
        <is>
          <t>USR-100711</t>
        </is>
      </c>
      <c r="B712" s="29" t="n">
        <v>45734</v>
      </c>
      <c r="C712" s="12" t="inlineStr">
        <is>
          <t>Treatment</t>
        </is>
      </c>
      <c r="D712" s="12" t="inlineStr">
        <is>
          <t>North</t>
        </is>
      </c>
      <c r="E712" s="12" t="inlineStr">
        <is>
          <t>Mobile</t>
        </is>
      </c>
      <c r="F712" s="12" t="inlineStr">
        <is>
          <t>Referral</t>
        </is>
      </c>
      <c r="G712" s="12" t="inlineStr">
        <is>
          <t>Free</t>
        </is>
      </c>
      <c r="H712" s="12" t="n">
        <v>1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/>
      <c r="P712" s="12" t="n">
        <v>55.9</v>
      </c>
    </row>
    <row r="713">
      <c r="A713" s="12" t="inlineStr">
        <is>
          <t>USR-100712</t>
        </is>
      </c>
      <c r="B713" s="29" t="n">
        <v>45752</v>
      </c>
      <c r="C713" s="12" t="inlineStr">
        <is>
          <t>Treatment</t>
        </is>
      </c>
      <c r="D713" s="12" t="inlineStr">
        <is>
          <t>North</t>
        </is>
      </c>
      <c r="E713" s="12" t="inlineStr">
        <is>
          <t>Mobile</t>
        </is>
      </c>
      <c r="F713" s="12" t="inlineStr">
        <is>
          <t>Organic</t>
        </is>
      </c>
      <c r="G713" s="12" t="inlineStr">
        <is>
          <t>Basic</t>
        </is>
      </c>
      <c r="H713" s="12" t="n">
        <v>1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/>
      <c r="P713" s="12" t="n">
        <v>51.5</v>
      </c>
    </row>
    <row r="714">
      <c r="A714" s="12" t="inlineStr">
        <is>
          <t>USR-100713</t>
        </is>
      </c>
      <c r="B714" s="29" t="n">
        <v>45763</v>
      </c>
      <c r="C714" s="12" t="inlineStr">
        <is>
          <t>Treatment</t>
        </is>
      </c>
      <c r="D714" s="12" t="inlineStr">
        <is>
          <t>East</t>
        </is>
      </c>
      <c r="E714" s="12" t="inlineStr">
        <is>
          <t>Mobile</t>
        </is>
      </c>
      <c r="F714" s="12" t="inlineStr">
        <is>
          <t>Organic</t>
        </is>
      </c>
      <c r="G714" s="12" t="inlineStr">
        <is>
          <t>Free</t>
        </is>
      </c>
      <c r="H714" s="12" t="n">
        <v>1</v>
      </c>
      <c r="I714" s="12" t="n">
        <v>1</v>
      </c>
      <c r="J714" s="12" t="n">
        <v>1</v>
      </c>
      <c r="K714" s="12" t="n">
        <v>1</v>
      </c>
      <c r="L714" s="12" t="n">
        <v>516.67</v>
      </c>
      <c r="M714" s="12" t="n">
        <v>0</v>
      </c>
      <c r="N714" s="12" t="n">
        <v>0</v>
      </c>
      <c r="O714" s="12" t="n">
        <v>11</v>
      </c>
      <c r="P714" s="12" t="n">
        <v>57.9</v>
      </c>
    </row>
    <row r="715">
      <c r="A715" s="12" t="inlineStr">
        <is>
          <t>USR-100714</t>
        </is>
      </c>
      <c r="B715" s="29" t="n">
        <v>45767</v>
      </c>
      <c r="C715" s="12" t="inlineStr">
        <is>
          <t>Treatment</t>
        </is>
      </c>
      <c r="D715" s="12" t="inlineStr">
        <is>
          <t>South</t>
        </is>
      </c>
      <c r="E715" s="12" t="inlineStr">
        <is>
          <t>Mobile</t>
        </is>
      </c>
      <c r="F715" s="12" t="inlineStr">
        <is>
          <t>Referral</t>
        </is>
      </c>
      <c r="G715" s="12" t="inlineStr">
        <is>
          <t>Free</t>
        </is>
      </c>
      <c r="H715" s="12" t="n">
        <v>1</v>
      </c>
      <c r="I715" s="12" t="n">
        <v>1</v>
      </c>
      <c r="J715" s="12" t="n">
        <v>1</v>
      </c>
      <c r="K715" s="12" t="n">
        <v>1</v>
      </c>
      <c r="L715" s="12" t="n">
        <v>277.18</v>
      </c>
      <c r="M715" s="12" t="n">
        <v>2</v>
      </c>
      <c r="N715" s="12" t="n">
        <v>0</v>
      </c>
      <c r="O715" s="12" t="n">
        <v>8</v>
      </c>
      <c r="P715" s="12" t="n">
        <v>59.2</v>
      </c>
    </row>
    <row r="716">
      <c r="A716" s="12" t="inlineStr">
        <is>
          <t>USR-100715</t>
        </is>
      </c>
      <c r="B716" s="29" t="n">
        <v>45703</v>
      </c>
      <c r="C716" s="12" t="inlineStr">
        <is>
          <t>Treatment</t>
        </is>
      </c>
      <c r="D716" s="12" t="inlineStr">
        <is>
          <t>South</t>
        </is>
      </c>
      <c r="E716" s="12" t="inlineStr">
        <is>
          <t>Mobile</t>
        </is>
      </c>
      <c r="F716" s="12" t="inlineStr">
        <is>
          <t>Organic</t>
        </is>
      </c>
      <c r="G716" s="12" t="inlineStr">
        <is>
          <t>Free</t>
        </is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/>
      <c r="P716" s="12" t="n">
        <v>64.2</v>
      </c>
    </row>
    <row r="717">
      <c r="A717" s="12" t="inlineStr">
        <is>
          <t>USR-100716</t>
        </is>
      </c>
      <c r="B717" s="29" t="n">
        <v>45678</v>
      </c>
      <c r="C717" s="12" t="inlineStr">
        <is>
          <t>Treatment</t>
        </is>
      </c>
      <c r="D717" s="12" t="inlineStr">
        <is>
          <t>South</t>
        </is>
      </c>
      <c r="E717" s="12" t="inlineStr">
        <is>
          <t>Mobile</t>
        </is>
      </c>
      <c r="F717" s="12" t="inlineStr">
        <is>
          <t>Organic</t>
        </is>
      </c>
      <c r="G717" s="12" t="inlineStr">
        <is>
          <t>Free</t>
        </is>
      </c>
      <c r="H717" s="12" t="n">
        <v>1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/>
      <c r="P717" s="12" t="n">
        <v>68.8</v>
      </c>
    </row>
    <row r="718">
      <c r="A718" s="12" t="inlineStr">
        <is>
          <t>USR-100717</t>
        </is>
      </c>
      <c r="B718" s="29" t="n">
        <v>45800</v>
      </c>
      <c r="C718" s="12" t="inlineStr">
        <is>
          <t>Treatment</t>
        </is>
      </c>
      <c r="D718" s="12" t="inlineStr">
        <is>
          <t>North</t>
        </is>
      </c>
      <c r="E718" s="12" t="inlineStr">
        <is>
          <t>Mobile</t>
        </is>
      </c>
      <c r="F718" s="12" t="inlineStr">
        <is>
          <t>Paid Search</t>
        </is>
      </c>
      <c r="G718" s="12" t="inlineStr">
        <is>
          <t>Premium</t>
        </is>
      </c>
      <c r="H718" s="12" t="n">
        <v>1</v>
      </c>
      <c r="I718" s="12" t="n">
        <v>1</v>
      </c>
      <c r="J718" s="12" t="n">
        <v>1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/>
      <c r="P718" s="12" t="n">
        <v>77.90000000000001</v>
      </c>
    </row>
    <row r="719">
      <c r="A719" s="12" t="inlineStr">
        <is>
          <t>USR-100718</t>
        </is>
      </c>
      <c r="B719" s="29" t="n">
        <v>45679</v>
      </c>
      <c r="C719" s="12" t="inlineStr">
        <is>
          <t>Treatment</t>
        </is>
      </c>
      <c r="D719" s="12" t="inlineStr">
        <is>
          <t>West</t>
        </is>
      </c>
      <c r="E719" s="12" t="inlineStr">
        <is>
          <t>Mobile</t>
        </is>
      </c>
      <c r="F719" s="12" t="inlineStr">
        <is>
          <t>Paid Search</t>
        </is>
      </c>
      <c r="G719" s="12" t="inlineStr">
        <is>
          <t>Basic</t>
        </is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/>
      <c r="P719" s="12" t="n">
        <v>92.09999999999999</v>
      </c>
    </row>
    <row r="720">
      <c r="A720" s="12" t="inlineStr">
        <is>
          <t>USR-100719</t>
        </is>
      </c>
      <c r="B720" s="29" t="n">
        <v>45771</v>
      </c>
      <c r="C720" s="12" t="inlineStr">
        <is>
          <t>Treatment</t>
        </is>
      </c>
      <c r="D720" s="12" t="inlineStr">
        <is>
          <t>West</t>
        </is>
      </c>
      <c r="E720" s="12" t="inlineStr">
        <is>
          <t>Mobile</t>
        </is>
      </c>
      <c r="F720" s="12" t="inlineStr">
        <is>
          <t>Paid Search</t>
        </is>
      </c>
      <c r="G720" s="12" t="inlineStr">
        <is>
          <t>Premium</t>
        </is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/>
      <c r="P720" s="12" t="n">
        <v>63.6</v>
      </c>
    </row>
    <row r="721">
      <c r="A721" s="12" t="inlineStr">
        <is>
          <t>USR-100720</t>
        </is>
      </c>
      <c r="B721" s="29" t="n">
        <v>45674</v>
      </c>
      <c r="C721" s="12" t="inlineStr">
        <is>
          <t>Treatment</t>
        </is>
      </c>
      <c r="D721" s="12" t="inlineStr">
        <is>
          <t>West</t>
        </is>
      </c>
      <c r="E721" s="12" t="inlineStr">
        <is>
          <t>Desktop</t>
        </is>
      </c>
      <c r="F721" s="12" t="inlineStr">
        <is>
          <t>Email</t>
        </is>
      </c>
      <c r="G721" s="12" t="inlineStr">
        <is>
          <t>Free</t>
        </is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2</v>
      </c>
      <c r="N721" s="12" t="n">
        <v>0</v>
      </c>
      <c r="O721" s="12" t="n"/>
      <c r="P721" s="12" t="n">
        <v>61.6</v>
      </c>
    </row>
    <row r="722">
      <c r="A722" s="12" t="inlineStr">
        <is>
          <t>USR-100721</t>
        </is>
      </c>
      <c r="B722" s="29" t="n">
        <v>45679</v>
      </c>
      <c r="C722" s="12" t="inlineStr">
        <is>
          <t>Treatment</t>
        </is>
      </c>
      <c r="D722" s="12" t="inlineStr">
        <is>
          <t>East</t>
        </is>
      </c>
      <c r="E722" s="12" t="inlineStr">
        <is>
          <t>Mobile</t>
        </is>
      </c>
      <c r="F722" s="12" t="inlineStr">
        <is>
          <t>Referral</t>
        </is>
      </c>
      <c r="G722" s="12" t="inlineStr">
        <is>
          <t>Basic</t>
        </is>
      </c>
      <c r="H722" s="12" t="n">
        <v>1</v>
      </c>
      <c r="I722" s="12" t="n">
        <v>1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/>
      <c r="P722" s="12" t="n">
        <v>82.3</v>
      </c>
    </row>
    <row r="723">
      <c r="A723" s="12" t="inlineStr">
        <is>
          <t>USR-100722</t>
        </is>
      </c>
      <c r="B723" s="29" t="n">
        <v>45781</v>
      </c>
      <c r="C723" s="12" t="inlineStr">
        <is>
          <t>Treatment</t>
        </is>
      </c>
      <c r="D723" s="12" t="inlineStr">
        <is>
          <t>East</t>
        </is>
      </c>
      <c r="E723" s="12" t="inlineStr">
        <is>
          <t>Desktop</t>
        </is>
      </c>
      <c r="F723" s="12" t="inlineStr">
        <is>
          <t>Paid Search</t>
        </is>
      </c>
      <c r="G723" s="12" t="inlineStr">
        <is>
          <t>Free</t>
        </is>
      </c>
      <c r="H723" s="12" t="n">
        <v>1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/>
      <c r="P723" s="12" t="n">
        <v>79.3</v>
      </c>
    </row>
    <row r="724">
      <c r="A724" s="12" t="inlineStr">
        <is>
          <t>USR-100723</t>
        </is>
      </c>
      <c r="B724" s="29" t="n">
        <v>45729</v>
      </c>
      <c r="C724" s="12" t="inlineStr">
        <is>
          <t>Treatment</t>
        </is>
      </c>
      <c r="D724" s="12" t="inlineStr">
        <is>
          <t>South</t>
        </is>
      </c>
      <c r="E724" s="12" t="inlineStr">
        <is>
          <t>Mobile</t>
        </is>
      </c>
      <c r="F724" s="12" t="n"/>
      <c r="G724" s="12" t="inlineStr">
        <is>
          <t>Free</t>
        </is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/>
      <c r="P724" s="12" t="n">
        <v>57.7</v>
      </c>
    </row>
    <row r="725">
      <c r="A725" s="12" t="inlineStr">
        <is>
          <t>USR-100724</t>
        </is>
      </c>
      <c r="B725" s="29" t="n">
        <v>45659</v>
      </c>
      <c r="C725" s="12" t="inlineStr">
        <is>
          <t>Treatment</t>
        </is>
      </c>
      <c r="D725" s="12" t="inlineStr">
        <is>
          <t>North</t>
        </is>
      </c>
      <c r="E725" s="12" t="inlineStr">
        <is>
          <t>Mobile</t>
        </is>
      </c>
      <c r="F725" s="12" t="inlineStr">
        <is>
          <t>Organic</t>
        </is>
      </c>
      <c r="G725" s="12" t="inlineStr">
        <is>
          <t>Basic</t>
        </is>
      </c>
      <c r="H725" s="12" t="n">
        <v>1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/>
      <c r="P725" s="12" t="n">
        <v>63.1</v>
      </c>
    </row>
    <row r="726">
      <c r="A726" s="12" t="inlineStr">
        <is>
          <t>USR-100725</t>
        </is>
      </c>
      <c r="B726" s="29" t="n">
        <v>45670</v>
      </c>
      <c r="C726" s="12" t="inlineStr">
        <is>
          <t>Treatment</t>
        </is>
      </c>
      <c r="D726" s="12" t="inlineStr">
        <is>
          <t>East</t>
        </is>
      </c>
      <c r="E726" s="12" t="inlineStr">
        <is>
          <t>Mobile</t>
        </is>
      </c>
      <c r="F726" s="12" t="inlineStr">
        <is>
          <t>Paid Search</t>
        </is>
      </c>
      <c r="G726" s="12" t="inlineStr">
        <is>
          <t>Basic</t>
        </is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/>
      <c r="P726" s="12" t="n">
        <v>72.3</v>
      </c>
    </row>
    <row r="727">
      <c r="A727" s="12" t="inlineStr">
        <is>
          <t>USR-100726</t>
        </is>
      </c>
      <c r="B727" s="29" t="n">
        <v>45697</v>
      </c>
      <c r="C727" s="12" t="inlineStr">
        <is>
          <t>Treatment</t>
        </is>
      </c>
      <c r="D727" s="12" t="inlineStr">
        <is>
          <t>East</t>
        </is>
      </c>
      <c r="E727" s="12" t="inlineStr">
        <is>
          <t>Mobile</t>
        </is>
      </c>
      <c r="F727" s="12" t="inlineStr">
        <is>
          <t>Social</t>
        </is>
      </c>
      <c r="G727" s="12" t="inlineStr">
        <is>
          <t>Free</t>
        </is>
      </c>
      <c r="H727" s="12" t="n">
        <v>1</v>
      </c>
      <c r="I727" s="12" t="n">
        <v>1</v>
      </c>
      <c r="J727" s="12" t="n">
        <v>1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/>
      <c r="P727" s="12" t="n">
        <v>78</v>
      </c>
    </row>
    <row r="728">
      <c r="A728" s="12" t="inlineStr">
        <is>
          <t>USR-100727</t>
        </is>
      </c>
      <c r="B728" s="29" t="n">
        <v>45756</v>
      </c>
      <c r="C728" s="12" t="inlineStr">
        <is>
          <t>Treatment</t>
        </is>
      </c>
      <c r="D728" s="12" t="inlineStr">
        <is>
          <t>East</t>
        </is>
      </c>
      <c r="E728" s="12" t="inlineStr">
        <is>
          <t>Desktop</t>
        </is>
      </c>
      <c r="F728" s="12" t="inlineStr">
        <is>
          <t>Social</t>
        </is>
      </c>
      <c r="G728" s="12" t="inlineStr">
        <is>
          <t>Free</t>
        </is>
      </c>
      <c r="H728" s="12" t="n">
        <v>1</v>
      </c>
      <c r="I728" s="12" t="n">
        <v>1</v>
      </c>
      <c r="J728" s="12" t="n">
        <v>0</v>
      </c>
      <c r="K728" s="12" t="n">
        <v>0</v>
      </c>
      <c r="L728" s="12" t="n">
        <v>0</v>
      </c>
      <c r="M728" s="12" t="n">
        <v>2</v>
      </c>
      <c r="N728" s="12" t="n">
        <v>0</v>
      </c>
      <c r="O728" s="12" t="n"/>
      <c r="P728" s="12" t="n">
        <v>59.1</v>
      </c>
    </row>
    <row r="729">
      <c r="A729" s="12" t="inlineStr">
        <is>
          <t>USR-100728</t>
        </is>
      </c>
      <c r="B729" s="29" t="n">
        <v>45659</v>
      </c>
      <c r="C729" s="12" t="inlineStr">
        <is>
          <t>Treatment</t>
        </is>
      </c>
      <c r="D729" s="12" t="inlineStr">
        <is>
          <t>South</t>
        </is>
      </c>
      <c r="E729" s="12" t="inlineStr">
        <is>
          <t>Mobile</t>
        </is>
      </c>
      <c r="F729" s="12" t="inlineStr">
        <is>
          <t>Paid Search</t>
        </is>
      </c>
      <c r="G729" s="12" t="inlineStr">
        <is>
          <t>Free</t>
        </is>
      </c>
      <c r="H729" s="12" t="n">
        <v>1</v>
      </c>
      <c r="I729" s="12" t="n">
        <v>1</v>
      </c>
      <c r="J729" s="12" t="n">
        <v>1</v>
      </c>
      <c r="K729" s="12" t="n">
        <v>1</v>
      </c>
      <c r="L729" s="12" t="n">
        <v>604.09</v>
      </c>
      <c r="M729" s="12" t="n">
        <v>0</v>
      </c>
      <c r="N729" s="12" t="n">
        <v>0</v>
      </c>
      <c r="O729" s="12" t="n">
        <v>7</v>
      </c>
      <c r="P729" s="12" t="n">
        <v>47.1</v>
      </c>
    </row>
    <row r="730">
      <c r="A730" s="12" t="inlineStr">
        <is>
          <t>USR-100729</t>
        </is>
      </c>
      <c r="B730" s="29" t="n">
        <v>45692</v>
      </c>
      <c r="C730" s="12" t="inlineStr">
        <is>
          <t>Treatment</t>
        </is>
      </c>
      <c r="D730" s="12" t="inlineStr">
        <is>
          <t>South</t>
        </is>
      </c>
      <c r="E730" s="12" t="inlineStr">
        <is>
          <t>Mobile</t>
        </is>
      </c>
      <c r="F730" s="12" t="n"/>
      <c r="G730" s="12" t="inlineStr">
        <is>
          <t>Premium</t>
        </is>
      </c>
      <c r="H730" s="12" t="n">
        <v>1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/>
      <c r="P730" s="12" t="n">
        <v>64.90000000000001</v>
      </c>
    </row>
    <row r="731">
      <c r="A731" s="12" t="inlineStr">
        <is>
          <t>USR-100730</t>
        </is>
      </c>
      <c r="B731" s="29" t="n">
        <v>45707</v>
      </c>
      <c r="C731" s="12" t="inlineStr">
        <is>
          <t>Treatment</t>
        </is>
      </c>
      <c r="D731" s="12" t="inlineStr">
        <is>
          <t>South</t>
        </is>
      </c>
      <c r="E731" s="12" t="inlineStr">
        <is>
          <t>Tablet</t>
        </is>
      </c>
      <c r="F731" s="12" t="inlineStr">
        <is>
          <t>Paid Search</t>
        </is>
      </c>
      <c r="G731" s="12" t="inlineStr">
        <is>
          <t>Free</t>
        </is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/>
      <c r="P731" s="12" t="n">
        <v>67.3</v>
      </c>
    </row>
    <row r="732">
      <c r="A732" s="12" t="inlineStr">
        <is>
          <t>USR-100731</t>
        </is>
      </c>
      <c r="B732" s="29" t="n">
        <v>45748</v>
      </c>
      <c r="C732" s="12" t="inlineStr">
        <is>
          <t>Treatment</t>
        </is>
      </c>
      <c r="D732" s="12" t="inlineStr">
        <is>
          <t>East</t>
        </is>
      </c>
      <c r="E732" s="12" t="inlineStr">
        <is>
          <t>Mobile</t>
        </is>
      </c>
      <c r="F732" s="12" t="inlineStr">
        <is>
          <t>Paid Search</t>
        </is>
      </c>
      <c r="G732" s="12" t="inlineStr">
        <is>
          <t>Basic</t>
        </is>
      </c>
      <c r="H732" s="12" t="n">
        <v>1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2</v>
      </c>
      <c r="N732" s="12" t="n">
        <v>0</v>
      </c>
      <c r="O732" s="12" t="n"/>
      <c r="P732" s="12" t="n">
        <v>52.9</v>
      </c>
    </row>
    <row r="733">
      <c r="A733" s="12" t="inlineStr">
        <is>
          <t>USR-100732</t>
        </is>
      </c>
      <c r="B733" s="29" t="n">
        <v>45686</v>
      </c>
      <c r="C733" s="12" t="inlineStr">
        <is>
          <t>Treatment</t>
        </is>
      </c>
      <c r="D733" s="12" t="inlineStr">
        <is>
          <t>North</t>
        </is>
      </c>
      <c r="E733" s="12" t="inlineStr">
        <is>
          <t>Mobile</t>
        </is>
      </c>
      <c r="F733" s="12" t="inlineStr">
        <is>
          <t>Referral</t>
        </is>
      </c>
      <c r="G733" s="12" t="inlineStr">
        <is>
          <t>Free</t>
        </is>
      </c>
      <c r="H733" s="12" t="n">
        <v>1</v>
      </c>
      <c r="I733" s="12" t="n">
        <v>1</v>
      </c>
      <c r="J733" s="12" t="n">
        <v>1</v>
      </c>
      <c r="K733" s="12" t="n">
        <v>1</v>
      </c>
      <c r="L733" s="12" t="n">
        <v>442.37</v>
      </c>
      <c r="M733" s="12" t="n">
        <v>1</v>
      </c>
      <c r="N733" s="12" t="n">
        <v>0</v>
      </c>
      <c r="O733" s="12" t="n">
        <v>4</v>
      </c>
      <c r="P733" s="12" t="n">
        <v>69.90000000000001</v>
      </c>
    </row>
    <row r="734">
      <c r="A734" s="12" t="inlineStr">
        <is>
          <t>USR-100733</t>
        </is>
      </c>
      <c r="B734" s="29" t="n">
        <v>45795</v>
      </c>
      <c r="C734" s="12" t="inlineStr">
        <is>
          <t>Treatment</t>
        </is>
      </c>
      <c r="D734" s="12" t="inlineStr">
        <is>
          <t>North</t>
        </is>
      </c>
      <c r="E734" s="12" t="inlineStr">
        <is>
          <t>Mobile</t>
        </is>
      </c>
      <c r="F734" s="12" t="inlineStr">
        <is>
          <t>Referral</t>
        </is>
      </c>
      <c r="G734" s="12" t="inlineStr">
        <is>
          <t>Basic</t>
        </is>
      </c>
      <c r="H734" s="12" t="n">
        <v>1</v>
      </c>
      <c r="I734" s="12" t="n">
        <v>1</v>
      </c>
      <c r="J734" s="12" t="n">
        <v>1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/>
      <c r="P734" s="12" t="n">
        <v>78.90000000000001</v>
      </c>
    </row>
    <row r="735">
      <c r="A735" s="12" t="inlineStr">
        <is>
          <t>USR-100734</t>
        </is>
      </c>
      <c r="B735" s="29" t="n">
        <v>45762</v>
      </c>
      <c r="C735" s="12" t="inlineStr">
        <is>
          <t>Treatment</t>
        </is>
      </c>
      <c r="D735" s="12" t="inlineStr">
        <is>
          <t>East</t>
        </is>
      </c>
      <c r="E735" s="12" t="inlineStr">
        <is>
          <t>Desktop</t>
        </is>
      </c>
      <c r="F735" s="12" t="inlineStr">
        <is>
          <t>Social</t>
        </is>
      </c>
      <c r="G735" s="12" t="inlineStr">
        <is>
          <t>Premium</t>
        </is>
      </c>
      <c r="H735" s="12" t="n">
        <v>1</v>
      </c>
      <c r="I735" s="12" t="n">
        <v>1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/>
      <c r="P735" s="12" t="n">
        <v>83.3</v>
      </c>
    </row>
    <row r="736">
      <c r="A736" s="12" t="inlineStr">
        <is>
          <t>USR-100735</t>
        </is>
      </c>
      <c r="B736" s="29" t="n">
        <v>45744</v>
      </c>
      <c r="C736" s="12" t="inlineStr">
        <is>
          <t>Treatment</t>
        </is>
      </c>
      <c r="D736" s="12" t="inlineStr">
        <is>
          <t>East</t>
        </is>
      </c>
      <c r="E736" s="12" t="inlineStr">
        <is>
          <t>Desktop</t>
        </is>
      </c>
      <c r="F736" s="12" t="inlineStr">
        <is>
          <t>Email</t>
        </is>
      </c>
      <c r="G736" s="12" t="inlineStr">
        <is>
          <t>Free</t>
        </is>
      </c>
      <c r="H736" s="12" t="n">
        <v>1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1</v>
      </c>
      <c r="N736" s="12" t="n">
        <v>0</v>
      </c>
      <c r="O736" s="12" t="n"/>
      <c r="P736" s="12" t="n">
        <v>24.5</v>
      </c>
    </row>
    <row r="737">
      <c r="A737" s="12" t="inlineStr">
        <is>
          <t>USR-100736</t>
        </is>
      </c>
      <c r="B737" s="29" t="n">
        <v>45748</v>
      </c>
      <c r="C737" s="12" t="inlineStr">
        <is>
          <t>Treatment</t>
        </is>
      </c>
      <c r="D737" s="12" t="inlineStr">
        <is>
          <t>West</t>
        </is>
      </c>
      <c r="E737" s="12" t="inlineStr">
        <is>
          <t>Mobile</t>
        </is>
      </c>
      <c r="F737" s="12" t="inlineStr">
        <is>
          <t>Paid Search</t>
        </is>
      </c>
      <c r="G737" s="12" t="inlineStr">
        <is>
          <t>Basic</t>
        </is>
      </c>
      <c r="H737" s="12" t="n">
        <v>1</v>
      </c>
      <c r="I737" s="12" t="n">
        <v>1</v>
      </c>
      <c r="J737" s="12" t="n">
        <v>0</v>
      </c>
      <c r="K737" s="12" t="n">
        <v>0</v>
      </c>
      <c r="L737" s="12" t="n">
        <v>0</v>
      </c>
      <c r="M737" s="12" t="n">
        <v>1</v>
      </c>
      <c r="N737" s="12" t="n">
        <v>0</v>
      </c>
      <c r="O737" s="12" t="n"/>
      <c r="P737" s="12" t="n">
        <v>56.9</v>
      </c>
    </row>
    <row r="738">
      <c r="A738" s="12" t="inlineStr">
        <is>
          <t>USR-100737</t>
        </is>
      </c>
      <c r="B738" s="29" t="n">
        <v>45699</v>
      </c>
      <c r="C738" s="12" t="inlineStr">
        <is>
          <t>Treatment</t>
        </is>
      </c>
      <c r="D738" s="12" t="inlineStr">
        <is>
          <t>West</t>
        </is>
      </c>
      <c r="E738" s="12" t="inlineStr">
        <is>
          <t>Mobile</t>
        </is>
      </c>
      <c r="F738" s="12" t="inlineStr">
        <is>
          <t>Social</t>
        </is>
      </c>
      <c r="G738" s="12" t="inlineStr">
        <is>
          <t>Basic</t>
        </is>
      </c>
      <c r="H738" s="12" t="n">
        <v>1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/>
      <c r="P738" s="12" t="n">
        <v>69.90000000000001</v>
      </c>
    </row>
    <row r="739">
      <c r="A739" s="12" t="inlineStr">
        <is>
          <t>USR-100738</t>
        </is>
      </c>
      <c r="B739" s="29" t="n">
        <v>45720</v>
      </c>
      <c r="C739" s="12" t="inlineStr">
        <is>
          <t>Treatment</t>
        </is>
      </c>
      <c r="D739" s="12" t="inlineStr">
        <is>
          <t>South</t>
        </is>
      </c>
      <c r="E739" s="12" t="inlineStr">
        <is>
          <t>Mobile</t>
        </is>
      </c>
      <c r="F739" s="12" t="inlineStr">
        <is>
          <t>Organic</t>
        </is>
      </c>
      <c r="G739" s="12" t="inlineStr">
        <is>
          <t>Free</t>
        </is>
      </c>
      <c r="H739" s="12" t="n">
        <v>1</v>
      </c>
      <c r="I739" s="12" t="n">
        <v>1</v>
      </c>
      <c r="J739" s="12" t="n">
        <v>1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/>
      <c r="P739" s="12" t="n">
        <v>81.5</v>
      </c>
    </row>
    <row r="740">
      <c r="A740" s="12" t="inlineStr">
        <is>
          <t>USR-100739</t>
        </is>
      </c>
      <c r="B740" s="29" t="n">
        <v>45678</v>
      </c>
      <c r="C740" s="12" t="inlineStr">
        <is>
          <t>Treatment</t>
        </is>
      </c>
      <c r="D740" s="12" t="inlineStr">
        <is>
          <t>North</t>
        </is>
      </c>
      <c r="E740" s="12" t="inlineStr">
        <is>
          <t>Tablet</t>
        </is>
      </c>
      <c r="F740" s="12" t="inlineStr">
        <is>
          <t>Social</t>
        </is>
      </c>
      <c r="G740" s="12" t="inlineStr">
        <is>
          <t>Basic</t>
        </is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2</v>
      </c>
      <c r="N740" s="12" t="n">
        <v>0</v>
      </c>
      <c r="O740" s="12" t="n"/>
      <c r="P740" s="12" t="n">
        <v>37.9</v>
      </c>
    </row>
    <row r="741">
      <c r="A741" s="12" t="inlineStr">
        <is>
          <t>USR-100740</t>
        </is>
      </c>
      <c r="B741" s="29" t="n">
        <v>45702</v>
      </c>
      <c r="C741" s="12" t="inlineStr">
        <is>
          <t>Treatment</t>
        </is>
      </c>
      <c r="D741" s="12" t="inlineStr">
        <is>
          <t>North</t>
        </is>
      </c>
      <c r="E741" s="12" t="inlineStr">
        <is>
          <t>Mobile</t>
        </is>
      </c>
      <c r="F741" s="12" t="inlineStr">
        <is>
          <t>Referral</t>
        </is>
      </c>
      <c r="G741" s="12" t="inlineStr">
        <is>
          <t>Free</t>
        </is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1</v>
      </c>
      <c r="N741" s="12" t="n">
        <v>0</v>
      </c>
      <c r="O741" s="12" t="n"/>
      <c r="P741" s="12" t="n">
        <v>61.7</v>
      </c>
    </row>
    <row r="742">
      <c r="A742" s="12" t="inlineStr">
        <is>
          <t>USR-100741</t>
        </is>
      </c>
      <c r="B742" s="29" t="n">
        <v>45746</v>
      </c>
      <c r="C742" s="12" t="inlineStr">
        <is>
          <t>Treatment</t>
        </is>
      </c>
      <c r="D742" s="12" t="inlineStr">
        <is>
          <t>North</t>
        </is>
      </c>
      <c r="E742" s="12" t="inlineStr">
        <is>
          <t>Desktop</t>
        </is>
      </c>
      <c r="F742" s="12" t="n"/>
      <c r="G742" s="12" t="inlineStr">
        <is>
          <t>Premium</t>
        </is>
      </c>
      <c r="H742" s="12" t="n">
        <v>1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2</v>
      </c>
      <c r="N742" s="12" t="n">
        <v>0</v>
      </c>
      <c r="O742" s="12" t="n"/>
      <c r="P742" s="12" t="n">
        <v>53.2</v>
      </c>
    </row>
    <row r="743">
      <c r="A743" s="12" t="inlineStr">
        <is>
          <t>USR-100742</t>
        </is>
      </c>
      <c r="B743" s="29" t="n">
        <v>45665</v>
      </c>
      <c r="C743" s="12" t="inlineStr">
        <is>
          <t>Treatment</t>
        </is>
      </c>
      <c r="D743" s="12" t="inlineStr">
        <is>
          <t>North</t>
        </is>
      </c>
      <c r="E743" s="12" t="inlineStr">
        <is>
          <t>Mobile</t>
        </is>
      </c>
      <c r="F743" s="12" t="inlineStr">
        <is>
          <t>Referral</t>
        </is>
      </c>
      <c r="G743" s="12" t="inlineStr">
        <is>
          <t>Free</t>
        </is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/>
      <c r="P743" s="12" t="n">
        <v>61.9</v>
      </c>
    </row>
    <row r="744">
      <c r="A744" s="12" t="inlineStr">
        <is>
          <t>USR-100743</t>
        </is>
      </c>
      <c r="B744" s="29" t="n">
        <v>45695</v>
      </c>
      <c r="C744" s="12" t="inlineStr">
        <is>
          <t>Treatment</t>
        </is>
      </c>
      <c r="D744" s="12" t="inlineStr">
        <is>
          <t>North</t>
        </is>
      </c>
      <c r="E744" s="12" t="inlineStr">
        <is>
          <t>Mobile</t>
        </is>
      </c>
      <c r="F744" s="12" t="inlineStr">
        <is>
          <t>Social</t>
        </is>
      </c>
      <c r="G744" s="12" t="inlineStr">
        <is>
          <t>Free</t>
        </is>
      </c>
      <c r="H744" s="12" t="n">
        <v>1</v>
      </c>
      <c r="I744" s="12" t="n">
        <v>1</v>
      </c>
      <c r="J744" s="12" t="n">
        <v>1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/>
      <c r="P744" s="12" t="n">
        <v>68.90000000000001</v>
      </c>
    </row>
    <row r="745">
      <c r="A745" s="12" t="inlineStr">
        <is>
          <t>USR-100744</t>
        </is>
      </c>
      <c r="B745" s="29" t="n">
        <v>45689</v>
      </c>
      <c r="C745" s="12" t="inlineStr">
        <is>
          <t>Treatment</t>
        </is>
      </c>
      <c r="D745" s="12" t="inlineStr">
        <is>
          <t>North</t>
        </is>
      </c>
      <c r="E745" s="12" t="inlineStr">
        <is>
          <t>Tablet</t>
        </is>
      </c>
      <c r="F745" s="12" t="inlineStr">
        <is>
          <t>Paid Search</t>
        </is>
      </c>
      <c r="G745" s="12" t="inlineStr">
        <is>
          <t>Basic</t>
        </is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/>
      <c r="P745" s="12" t="n">
        <v>66.3</v>
      </c>
    </row>
    <row r="746">
      <c r="A746" s="12" t="inlineStr">
        <is>
          <t>USR-100745</t>
        </is>
      </c>
      <c r="B746" s="29" t="n">
        <v>45661</v>
      </c>
      <c r="C746" s="12" t="inlineStr">
        <is>
          <t>Treatment</t>
        </is>
      </c>
      <c r="D746" s="12" t="inlineStr">
        <is>
          <t>East</t>
        </is>
      </c>
      <c r="E746" s="12" t="inlineStr">
        <is>
          <t>Mobile</t>
        </is>
      </c>
      <c r="F746" s="12" t="inlineStr">
        <is>
          <t>Email</t>
        </is>
      </c>
      <c r="G746" s="12" t="inlineStr">
        <is>
          <t>Free</t>
        </is>
      </c>
      <c r="H746" s="12" t="n">
        <v>1</v>
      </c>
      <c r="I746" s="12" t="n">
        <v>1</v>
      </c>
      <c r="J746" s="12" t="n">
        <v>1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/>
      <c r="P746" s="12" t="n">
        <v>54.6</v>
      </c>
    </row>
    <row r="747">
      <c r="A747" s="12" t="inlineStr">
        <is>
          <t>USR-100746</t>
        </is>
      </c>
      <c r="B747" s="29" t="n">
        <v>45793</v>
      </c>
      <c r="C747" s="12" t="inlineStr">
        <is>
          <t>Treatment</t>
        </is>
      </c>
      <c r="D747" s="12" t="inlineStr">
        <is>
          <t>South</t>
        </is>
      </c>
      <c r="E747" s="12" t="inlineStr">
        <is>
          <t>Desktop</t>
        </is>
      </c>
      <c r="F747" s="12" t="inlineStr">
        <is>
          <t>Referral</t>
        </is>
      </c>
      <c r="G747" s="12" t="inlineStr">
        <is>
          <t>Free</t>
        </is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/>
      <c r="P747" s="12" t="n">
        <v>53.8</v>
      </c>
    </row>
    <row r="748">
      <c r="A748" s="12" t="inlineStr">
        <is>
          <t>USR-100747</t>
        </is>
      </c>
      <c r="B748" s="29" t="n">
        <v>45716</v>
      </c>
      <c r="C748" s="12" t="inlineStr">
        <is>
          <t>Treatment</t>
        </is>
      </c>
      <c r="D748" s="12" t="inlineStr">
        <is>
          <t>West</t>
        </is>
      </c>
      <c r="E748" s="12" t="inlineStr">
        <is>
          <t>Mobile</t>
        </is>
      </c>
      <c r="F748" s="12" t="inlineStr">
        <is>
          <t>Referral</t>
        </is>
      </c>
      <c r="G748" s="12" t="inlineStr">
        <is>
          <t>Free</t>
        </is>
      </c>
      <c r="H748" s="12" t="n">
        <v>1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/>
      <c r="P748" s="12" t="n">
        <v>59.5</v>
      </c>
    </row>
    <row r="749">
      <c r="A749" s="12" t="inlineStr">
        <is>
          <t>USR-100748</t>
        </is>
      </c>
      <c r="B749" s="29" t="n">
        <v>45759</v>
      </c>
      <c r="C749" s="12" t="inlineStr">
        <is>
          <t>Treatment</t>
        </is>
      </c>
      <c r="D749" s="12" t="inlineStr">
        <is>
          <t>North</t>
        </is>
      </c>
      <c r="E749" s="12" t="inlineStr">
        <is>
          <t>Mobile</t>
        </is>
      </c>
      <c r="F749" s="12" t="inlineStr">
        <is>
          <t>Referral</t>
        </is>
      </c>
      <c r="G749" s="12" t="inlineStr">
        <is>
          <t>Free</t>
        </is>
      </c>
      <c r="H749" s="12" t="n">
        <v>1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/>
      <c r="P749" s="12" t="n">
        <v>52.6</v>
      </c>
    </row>
    <row r="750">
      <c r="A750" s="12" t="inlineStr">
        <is>
          <t>USR-100749</t>
        </is>
      </c>
      <c r="B750" s="29" t="n">
        <v>45739</v>
      </c>
      <c r="C750" s="12" t="inlineStr">
        <is>
          <t>Treatment</t>
        </is>
      </c>
      <c r="D750" s="12" t="inlineStr">
        <is>
          <t>South</t>
        </is>
      </c>
      <c r="E750" s="12" t="inlineStr">
        <is>
          <t>Desktop</t>
        </is>
      </c>
      <c r="F750" s="12" t="inlineStr">
        <is>
          <t>Organic</t>
        </is>
      </c>
      <c r="G750" s="12" t="inlineStr">
        <is>
          <t>Free</t>
        </is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/>
      <c r="P750" s="12" t="n">
        <v>49</v>
      </c>
    </row>
    <row r="751">
      <c r="A751" s="12" t="inlineStr">
        <is>
          <t>USR-100750</t>
        </is>
      </c>
      <c r="B751" s="29" t="n">
        <v>45806</v>
      </c>
      <c r="C751" s="12" t="inlineStr">
        <is>
          <t>Treatment</t>
        </is>
      </c>
      <c r="D751" s="12" t="inlineStr">
        <is>
          <t>North</t>
        </is>
      </c>
      <c r="E751" s="12" t="inlineStr">
        <is>
          <t>Tablet</t>
        </is>
      </c>
      <c r="F751" s="12" t="inlineStr">
        <is>
          <t>Organic</t>
        </is>
      </c>
      <c r="G751" s="12" t="inlineStr">
        <is>
          <t>Free</t>
        </is>
      </c>
      <c r="H751" s="12" t="n">
        <v>1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/>
      <c r="P751" s="12" t="n">
        <v>59.3</v>
      </c>
    </row>
    <row r="752">
      <c r="A752" s="12" t="inlineStr">
        <is>
          <t>USR-100751</t>
        </is>
      </c>
      <c r="B752" s="29" t="n">
        <v>45798</v>
      </c>
      <c r="C752" s="12" t="inlineStr">
        <is>
          <t>Treatment</t>
        </is>
      </c>
      <c r="D752" s="12" t="inlineStr">
        <is>
          <t>South</t>
        </is>
      </c>
      <c r="E752" s="12" t="inlineStr">
        <is>
          <t>Desktop</t>
        </is>
      </c>
      <c r="F752" s="12" t="inlineStr">
        <is>
          <t>Organic</t>
        </is>
      </c>
      <c r="G752" s="12" t="inlineStr">
        <is>
          <t>Basic</t>
        </is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/>
      <c r="P752" s="12" t="n">
        <v>67.2</v>
      </c>
    </row>
    <row r="753">
      <c r="A753" s="12" t="inlineStr">
        <is>
          <t>USR-100752</t>
        </is>
      </c>
      <c r="B753" s="29" t="n">
        <v>45662</v>
      </c>
      <c r="C753" s="12" t="inlineStr">
        <is>
          <t>Treatment</t>
        </is>
      </c>
      <c r="D753" s="12" t="inlineStr">
        <is>
          <t>South</t>
        </is>
      </c>
      <c r="E753" s="12" t="inlineStr">
        <is>
          <t>Mobile</t>
        </is>
      </c>
      <c r="F753" s="12" t="inlineStr">
        <is>
          <t>Referral</t>
        </is>
      </c>
      <c r="G753" s="12" t="inlineStr">
        <is>
          <t>Premium</t>
        </is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/>
      <c r="P753" s="12" t="n">
        <v>73.5</v>
      </c>
    </row>
    <row r="754">
      <c r="A754" s="12" t="inlineStr">
        <is>
          <t>USR-100753</t>
        </is>
      </c>
      <c r="B754" s="29" t="n">
        <v>45735</v>
      </c>
      <c r="C754" s="12" t="inlineStr">
        <is>
          <t>Treatment</t>
        </is>
      </c>
      <c r="D754" s="12" t="inlineStr">
        <is>
          <t>East</t>
        </is>
      </c>
      <c r="E754" s="12" t="inlineStr">
        <is>
          <t>Tablet</t>
        </is>
      </c>
      <c r="F754" s="12" t="inlineStr">
        <is>
          <t>Organic</t>
        </is>
      </c>
      <c r="G754" s="12" t="inlineStr">
        <is>
          <t>Free</t>
        </is>
      </c>
      <c r="H754" s="12" t="n">
        <v>1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/>
      <c r="P754" s="12" t="n">
        <v>61.2</v>
      </c>
    </row>
    <row r="755">
      <c r="A755" s="12" t="inlineStr">
        <is>
          <t>USR-100754</t>
        </is>
      </c>
      <c r="B755" s="29" t="n">
        <v>45771</v>
      </c>
      <c r="C755" s="12" t="inlineStr">
        <is>
          <t>Treatment</t>
        </is>
      </c>
      <c r="D755" s="12" t="inlineStr">
        <is>
          <t>East</t>
        </is>
      </c>
      <c r="E755" s="12" t="inlineStr">
        <is>
          <t>Mobile</t>
        </is>
      </c>
      <c r="F755" s="12" t="inlineStr">
        <is>
          <t>Organic</t>
        </is>
      </c>
      <c r="G755" s="12" t="inlineStr">
        <is>
          <t>Free</t>
        </is>
      </c>
      <c r="H755" s="12" t="n">
        <v>1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1</v>
      </c>
      <c r="N755" s="12" t="n">
        <v>0</v>
      </c>
      <c r="O755" s="12" t="n"/>
      <c r="P755" s="12" t="n">
        <v>56.4</v>
      </c>
    </row>
    <row r="756">
      <c r="A756" s="12" t="inlineStr">
        <is>
          <t>USR-100755</t>
        </is>
      </c>
      <c r="B756" s="29" t="n">
        <v>45726</v>
      </c>
      <c r="C756" s="12" t="inlineStr">
        <is>
          <t>Treatment</t>
        </is>
      </c>
      <c r="D756" s="12" t="inlineStr">
        <is>
          <t>North</t>
        </is>
      </c>
      <c r="E756" s="12" t="inlineStr">
        <is>
          <t>Tablet</t>
        </is>
      </c>
      <c r="F756" s="12" t="inlineStr">
        <is>
          <t>Organic</t>
        </is>
      </c>
      <c r="G756" s="12" t="inlineStr">
        <is>
          <t>Free</t>
        </is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3</v>
      </c>
      <c r="N756" s="12" t="n">
        <v>0</v>
      </c>
      <c r="O756" s="12" t="n"/>
      <c r="P756" s="12" t="n">
        <v>72.59999999999999</v>
      </c>
    </row>
    <row r="757">
      <c r="A757" s="12" t="inlineStr">
        <is>
          <t>USR-100756</t>
        </is>
      </c>
      <c r="B757" s="29" t="n">
        <v>45710</v>
      </c>
      <c r="C757" s="12" t="inlineStr">
        <is>
          <t>Treatment</t>
        </is>
      </c>
      <c r="D757" s="12" t="inlineStr">
        <is>
          <t>South</t>
        </is>
      </c>
      <c r="E757" s="12" t="inlineStr">
        <is>
          <t>Tablet</t>
        </is>
      </c>
      <c r="F757" s="12" t="inlineStr">
        <is>
          <t>Referral</t>
        </is>
      </c>
      <c r="G757" s="12" t="inlineStr">
        <is>
          <t>Basic</t>
        </is>
      </c>
      <c r="H757" s="12" t="n">
        <v>1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/>
      <c r="P757" s="12" t="n">
        <v>61.7</v>
      </c>
    </row>
    <row r="758">
      <c r="A758" s="12" t="inlineStr">
        <is>
          <t>USR-100757</t>
        </is>
      </c>
      <c r="B758" s="29" t="n">
        <v>45794</v>
      </c>
      <c r="C758" s="12" t="inlineStr">
        <is>
          <t>Treatment</t>
        </is>
      </c>
      <c r="D758" s="12" t="inlineStr">
        <is>
          <t>East</t>
        </is>
      </c>
      <c r="E758" s="12" t="inlineStr">
        <is>
          <t>Mobile</t>
        </is>
      </c>
      <c r="F758" s="12" t="inlineStr">
        <is>
          <t>Social</t>
        </is>
      </c>
      <c r="G758" s="12" t="inlineStr">
        <is>
          <t>Free</t>
        </is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1</v>
      </c>
      <c r="N758" s="12" t="n">
        <v>0</v>
      </c>
      <c r="O758" s="12" t="n"/>
      <c r="P758" s="12" t="n">
        <v>66.90000000000001</v>
      </c>
    </row>
    <row r="759">
      <c r="A759" s="12" t="inlineStr">
        <is>
          <t>USR-100758</t>
        </is>
      </c>
      <c r="B759" s="29" t="n">
        <v>45786</v>
      </c>
      <c r="C759" s="12" t="inlineStr">
        <is>
          <t>Treatment</t>
        </is>
      </c>
      <c r="D759" s="12" t="inlineStr">
        <is>
          <t>East</t>
        </is>
      </c>
      <c r="E759" s="12" t="inlineStr">
        <is>
          <t>Tablet</t>
        </is>
      </c>
      <c r="F759" s="12" t="inlineStr">
        <is>
          <t>Referral</t>
        </is>
      </c>
      <c r="G759" s="12" t="inlineStr">
        <is>
          <t>Premium</t>
        </is>
      </c>
      <c r="H759" s="12" t="n">
        <v>1</v>
      </c>
      <c r="I759" s="12" t="n">
        <v>1</v>
      </c>
      <c r="J759" s="12" t="n">
        <v>1</v>
      </c>
      <c r="K759" s="12" t="n">
        <v>1</v>
      </c>
      <c r="L759" s="12" t="n">
        <v>1506.24</v>
      </c>
      <c r="M759" s="12" t="n">
        <v>1</v>
      </c>
      <c r="N759" s="12" t="n">
        <v>0</v>
      </c>
      <c r="O759" s="12" t="n">
        <v>7</v>
      </c>
      <c r="P759" s="12" t="n">
        <v>64.90000000000001</v>
      </c>
    </row>
    <row r="760">
      <c r="A760" s="12" t="inlineStr">
        <is>
          <t>USR-100759</t>
        </is>
      </c>
      <c r="B760" s="29" t="n">
        <v>45773</v>
      </c>
      <c r="C760" s="12" t="inlineStr">
        <is>
          <t>Treatment</t>
        </is>
      </c>
      <c r="D760" s="12" t="inlineStr">
        <is>
          <t>East</t>
        </is>
      </c>
      <c r="E760" s="12" t="inlineStr">
        <is>
          <t>Tablet</t>
        </is>
      </c>
      <c r="F760" s="12" t="inlineStr">
        <is>
          <t>Organic</t>
        </is>
      </c>
      <c r="G760" s="12" t="inlineStr">
        <is>
          <t>Premium</t>
        </is>
      </c>
      <c r="H760" s="12" t="n">
        <v>1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/>
      <c r="P760" s="12" t="n">
        <v>57.5</v>
      </c>
    </row>
    <row r="761">
      <c r="A761" s="12" t="inlineStr">
        <is>
          <t>USR-100760</t>
        </is>
      </c>
      <c r="B761" s="29" t="n">
        <v>45731</v>
      </c>
      <c r="C761" s="12" t="inlineStr">
        <is>
          <t>Treatment</t>
        </is>
      </c>
      <c r="D761" s="12" t="inlineStr">
        <is>
          <t>West</t>
        </is>
      </c>
      <c r="E761" s="12" t="inlineStr">
        <is>
          <t>Desktop</t>
        </is>
      </c>
      <c r="F761" s="12" t="inlineStr">
        <is>
          <t>Social</t>
        </is>
      </c>
      <c r="G761" s="12" t="inlineStr">
        <is>
          <t>Free</t>
        </is>
      </c>
      <c r="H761" s="12" t="n">
        <v>1</v>
      </c>
      <c r="I761" s="12" t="n">
        <v>1</v>
      </c>
      <c r="J761" s="12" t="n">
        <v>1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/>
      <c r="P761" s="12" t="n">
        <v>76.3</v>
      </c>
    </row>
    <row r="762">
      <c r="A762" s="12" t="inlineStr">
        <is>
          <t>USR-100761</t>
        </is>
      </c>
      <c r="B762" s="29" t="n">
        <v>45750</v>
      </c>
      <c r="C762" s="12" t="inlineStr">
        <is>
          <t>Treatment</t>
        </is>
      </c>
      <c r="D762" s="12" t="inlineStr">
        <is>
          <t>North</t>
        </is>
      </c>
      <c r="E762" s="12" t="inlineStr">
        <is>
          <t>Mobile</t>
        </is>
      </c>
      <c r="F762" s="12" t="inlineStr">
        <is>
          <t>Paid Search</t>
        </is>
      </c>
      <c r="G762" s="12" t="inlineStr">
        <is>
          <t>Free</t>
        </is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/>
      <c r="P762" s="12" t="n">
        <v>47.5</v>
      </c>
    </row>
    <row r="763">
      <c r="A763" s="12" t="inlineStr">
        <is>
          <t>USR-100762</t>
        </is>
      </c>
      <c r="B763" s="29" t="n">
        <v>45742</v>
      </c>
      <c r="C763" s="12" t="inlineStr">
        <is>
          <t>Treatment</t>
        </is>
      </c>
      <c r="D763" s="12" t="inlineStr">
        <is>
          <t>South</t>
        </is>
      </c>
      <c r="E763" s="12" t="inlineStr">
        <is>
          <t>Mobile</t>
        </is>
      </c>
      <c r="F763" s="12" t="inlineStr">
        <is>
          <t>Paid Search</t>
        </is>
      </c>
      <c r="G763" s="12" t="inlineStr">
        <is>
          <t>Free</t>
        </is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/>
      <c r="P763" s="12" t="n"/>
    </row>
    <row r="764">
      <c r="A764" s="12" t="inlineStr">
        <is>
          <t>USR-100763</t>
        </is>
      </c>
      <c r="B764" s="29" t="n">
        <v>45693</v>
      </c>
      <c r="C764" s="12" t="inlineStr">
        <is>
          <t>Treatment</t>
        </is>
      </c>
      <c r="D764" s="12" t="inlineStr">
        <is>
          <t>West</t>
        </is>
      </c>
      <c r="E764" s="12" t="inlineStr">
        <is>
          <t>Desktop</t>
        </is>
      </c>
      <c r="F764" s="12" t="inlineStr">
        <is>
          <t>Organic</t>
        </is>
      </c>
      <c r="G764" s="12" t="inlineStr">
        <is>
          <t>Basic</t>
        </is>
      </c>
      <c r="H764" s="12" t="n">
        <v>1</v>
      </c>
      <c r="I764" s="12" t="n">
        <v>1</v>
      </c>
      <c r="J764" s="12" t="n">
        <v>0</v>
      </c>
      <c r="K764" s="12" t="n">
        <v>0</v>
      </c>
      <c r="L764" s="12" t="n">
        <v>0</v>
      </c>
      <c r="M764" s="12" t="n">
        <v>2</v>
      </c>
      <c r="N764" s="12" t="n">
        <v>0</v>
      </c>
      <c r="O764" s="12" t="n"/>
      <c r="P764" s="12" t="n">
        <v>71.59999999999999</v>
      </c>
    </row>
    <row r="765">
      <c r="A765" s="12" t="inlineStr">
        <is>
          <t>USR-100764</t>
        </is>
      </c>
      <c r="B765" s="29" t="n">
        <v>45785</v>
      </c>
      <c r="C765" s="12" t="inlineStr">
        <is>
          <t>Treatment</t>
        </is>
      </c>
      <c r="D765" s="12" t="inlineStr">
        <is>
          <t>South</t>
        </is>
      </c>
      <c r="E765" s="12" t="inlineStr">
        <is>
          <t>Mobile</t>
        </is>
      </c>
      <c r="F765" s="12" t="inlineStr">
        <is>
          <t>Social</t>
        </is>
      </c>
      <c r="G765" s="12" t="inlineStr">
        <is>
          <t>Basic</t>
        </is>
      </c>
      <c r="H765" s="12" t="n">
        <v>1</v>
      </c>
      <c r="I765" s="12" t="n">
        <v>1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/>
      <c r="P765" s="12" t="n">
        <v>55.8</v>
      </c>
    </row>
    <row r="766">
      <c r="A766" s="12" t="inlineStr">
        <is>
          <t>USR-100765</t>
        </is>
      </c>
      <c r="B766" s="29" t="n">
        <v>45741</v>
      </c>
      <c r="C766" s="12" t="inlineStr">
        <is>
          <t>Treatment</t>
        </is>
      </c>
      <c r="D766" s="12" t="inlineStr">
        <is>
          <t>South</t>
        </is>
      </c>
      <c r="E766" s="12" t="inlineStr">
        <is>
          <t>Desktop</t>
        </is>
      </c>
      <c r="F766" s="12" t="inlineStr">
        <is>
          <t>Organic</t>
        </is>
      </c>
      <c r="G766" s="12" t="inlineStr">
        <is>
          <t>Basic</t>
        </is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1</v>
      </c>
      <c r="N766" s="12" t="n">
        <v>0</v>
      </c>
      <c r="O766" s="12" t="n"/>
      <c r="P766" s="12" t="n">
        <v>60.1</v>
      </c>
    </row>
    <row r="767">
      <c r="A767" s="12" t="inlineStr">
        <is>
          <t>USR-100766</t>
        </is>
      </c>
      <c r="B767" s="29" t="n">
        <v>45671</v>
      </c>
      <c r="C767" s="12" t="inlineStr">
        <is>
          <t>Treatment</t>
        </is>
      </c>
      <c r="D767" s="12" t="inlineStr">
        <is>
          <t>West</t>
        </is>
      </c>
      <c r="E767" s="12" t="n"/>
      <c r="F767" s="12" t="inlineStr">
        <is>
          <t>Email</t>
        </is>
      </c>
      <c r="G767" s="12" t="inlineStr">
        <is>
          <t>Basic</t>
        </is>
      </c>
      <c r="H767" s="12" t="n">
        <v>1</v>
      </c>
      <c r="I767" s="12" t="n">
        <v>1</v>
      </c>
      <c r="J767" s="12" t="n">
        <v>1</v>
      </c>
      <c r="K767" s="12" t="n">
        <v>0</v>
      </c>
      <c r="L767" s="12" t="n">
        <v>0</v>
      </c>
      <c r="M767" s="12" t="n">
        <v>1</v>
      </c>
      <c r="N767" s="12" t="n">
        <v>0</v>
      </c>
      <c r="O767" s="12" t="n"/>
      <c r="P767" s="12" t="n">
        <v>59.3</v>
      </c>
    </row>
    <row r="768">
      <c r="A768" s="12" t="inlineStr">
        <is>
          <t>USR-100767</t>
        </is>
      </c>
      <c r="B768" s="29" t="n">
        <v>45742</v>
      </c>
      <c r="C768" s="12" t="inlineStr">
        <is>
          <t>Treatment</t>
        </is>
      </c>
      <c r="D768" s="12" t="inlineStr">
        <is>
          <t>North</t>
        </is>
      </c>
      <c r="E768" s="12" t="inlineStr">
        <is>
          <t>Mobile</t>
        </is>
      </c>
      <c r="F768" s="12" t="inlineStr">
        <is>
          <t>Organic</t>
        </is>
      </c>
      <c r="G768" s="12" t="inlineStr">
        <is>
          <t>Free</t>
        </is>
      </c>
      <c r="H768" s="12" t="n">
        <v>1</v>
      </c>
      <c r="I768" s="12" t="n">
        <v>1</v>
      </c>
      <c r="J768" s="12" t="n">
        <v>0</v>
      </c>
      <c r="K768" s="12" t="n">
        <v>0</v>
      </c>
      <c r="L768" s="12" t="n">
        <v>0</v>
      </c>
      <c r="M768" s="12" t="n">
        <v>2</v>
      </c>
      <c r="N768" s="12" t="n">
        <v>0</v>
      </c>
      <c r="O768" s="12" t="n"/>
      <c r="P768" s="12" t="n">
        <v>49.3</v>
      </c>
    </row>
    <row r="769">
      <c r="A769" s="12" t="inlineStr">
        <is>
          <t>USR-100768</t>
        </is>
      </c>
      <c r="B769" s="29" t="n">
        <v>45673</v>
      </c>
      <c r="C769" s="12" t="inlineStr">
        <is>
          <t>Treatment</t>
        </is>
      </c>
      <c r="D769" s="12" t="inlineStr">
        <is>
          <t>East</t>
        </is>
      </c>
      <c r="E769" s="12" t="inlineStr">
        <is>
          <t>Mobile</t>
        </is>
      </c>
      <c r="F769" s="12" t="inlineStr">
        <is>
          <t>Referral</t>
        </is>
      </c>
      <c r="G769" s="12" t="inlineStr">
        <is>
          <t>Free</t>
        </is>
      </c>
      <c r="H769" s="12" t="n">
        <v>1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/>
      <c r="P769" s="12" t="n">
        <v>75</v>
      </c>
    </row>
    <row r="770">
      <c r="A770" s="12" t="inlineStr">
        <is>
          <t>USR-100769</t>
        </is>
      </c>
      <c r="B770" s="29" t="n">
        <v>45661</v>
      </c>
      <c r="C770" s="12" t="inlineStr">
        <is>
          <t>Treatment</t>
        </is>
      </c>
      <c r="D770" s="12" t="inlineStr">
        <is>
          <t>East</t>
        </is>
      </c>
      <c r="E770" s="12" t="inlineStr">
        <is>
          <t>Mobile</t>
        </is>
      </c>
      <c r="F770" s="12" t="inlineStr">
        <is>
          <t>Social</t>
        </is>
      </c>
      <c r="G770" s="12" t="inlineStr">
        <is>
          <t>Free</t>
        </is>
      </c>
      <c r="H770" s="12" t="n">
        <v>1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/>
      <c r="P770" s="12" t="n">
        <v>70.2</v>
      </c>
    </row>
    <row r="771">
      <c r="A771" s="12" t="inlineStr">
        <is>
          <t>USR-100770</t>
        </is>
      </c>
      <c r="B771" s="29" t="n">
        <v>45697</v>
      </c>
      <c r="C771" s="12" t="inlineStr">
        <is>
          <t>Treatment</t>
        </is>
      </c>
      <c r="D771" s="12" t="inlineStr">
        <is>
          <t>South</t>
        </is>
      </c>
      <c r="E771" s="12" t="inlineStr">
        <is>
          <t>Desktop</t>
        </is>
      </c>
      <c r="F771" s="12" t="inlineStr">
        <is>
          <t>Organic</t>
        </is>
      </c>
      <c r="G771" s="12" t="inlineStr">
        <is>
          <t>Premium</t>
        </is>
      </c>
      <c r="H771" s="12" t="n">
        <v>1</v>
      </c>
      <c r="I771" s="12" t="n">
        <v>1</v>
      </c>
      <c r="J771" s="12" t="n">
        <v>1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/>
      <c r="P771" s="12" t="n">
        <v>56.6</v>
      </c>
    </row>
    <row r="772">
      <c r="A772" s="12" t="inlineStr">
        <is>
          <t>USR-100771</t>
        </is>
      </c>
      <c r="B772" s="29" t="n">
        <v>45721</v>
      </c>
      <c r="C772" s="12" t="inlineStr">
        <is>
          <t>Treatment</t>
        </is>
      </c>
      <c r="D772" s="12" t="inlineStr">
        <is>
          <t>East</t>
        </is>
      </c>
      <c r="E772" s="12" t="inlineStr">
        <is>
          <t>Desktop</t>
        </is>
      </c>
      <c r="F772" s="12" t="inlineStr">
        <is>
          <t>Organic</t>
        </is>
      </c>
      <c r="G772" s="12" t="inlineStr">
        <is>
          <t>Free</t>
        </is>
      </c>
      <c r="H772" s="12" t="n">
        <v>1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/>
      <c r="P772" s="12" t="n">
        <v>65.40000000000001</v>
      </c>
    </row>
    <row r="773">
      <c r="A773" s="12" t="inlineStr">
        <is>
          <t>USR-100772</t>
        </is>
      </c>
      <c r="B773" s="29" t="n">
        <v>45726</v>
      </c>
      <c r="C773" s="12" t="inlineStr">
        <is>
          <t>Treatment</t>
        </is>
      </c>
      <c r="D773" s="12" t="inlineStr">
        <is>
          <t>East</t>
        </is>
      </c>
      <c r="E773" s="12" t="inlineStr">
        <is>
          <t>Mobile</t>
        </is>
      </c>
      <c r="F773" s="12" t="inlineStr">
        <is>
          <t>Referral</t>
        </is>
      </c>
      <c r="G773" s="12" t="inlineStr">
        <is>
          <t>Basic</t>
        </is>
      </c>
      <c r="H773" s="12" t="n">
        <v>1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/>
      <c r="P773" s="12" t="n">
        <v>47.6</v>
      </c>
    </row>
    <row r="774">
      <c r="A774" s="12" t="inlineStr">
        <is>
          <t>USR-100773</t>
        </is>
      </c>
      <c r="B774" s="29" t="n">
        <v>45715</v>
      </c>
      <c r="C774" s="12" t="inlineStr">
        <is>
          <t>Treatment</t>
        </is>
      </c>
      <c r="D774" s="12" t="inlineStr">
        <is>
          <t>East</t>
        </is>
      </c>
      <c r="E774" s="12" t="inlineStr">
        <is>
          <t>Desktop</t>
        </is>
      </c>
      <c r="F774" s="12" t="inlineStr">
        <is>
          <t>Paid Search</t>
        </is>
      </c>
      <c r="G774" s="12" t="inlineStr">
        <is>
          <t>Free</t>
        </is>
      </c>
      <c r="H774" s="12" t="n">
        <v>1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/>
      <c r="P774" s="12" t="n">
        <v>56.7</v>
      </c>
    </row>
    <row r="775">
      <c r="A775" s="12" t="inlineStr">
        <is>
          <t>USR-100774</t>
        </is>
      </c>
      <c r="B775" s="29" t="n">
        <v>45726</v>
      </c>
      <c r="C775" s="12" t="inlineStr">
        <is>
          <t>Treatment</t>
        </is>
      </c>
      <c r="D775" s="12" t="inlineStr">
        <is>
          <t>North</t>
        </is>
      </c>
      <c r="E775" s="12" t="inlineStr">
        <is>
          <t>Desktop</t>
        </is>
      </c>
      <c r="F775" s="12" t="inlineStr">
        <is>
          <t>Referral</t>
        </is>
      </c>
      <c r="G775" s="12" t="inlineStr">
        <is>
          <t>Basic</t>
        </is>
      </c>
      <c r="H775" s="12" t="n">
        <v>1</v>
      </c>
      <c r="I775" s="12" t="n">
        <v>1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/>
      <c r="P775" s="12" t="n">
        <v>71.40000000000001</v>
      </c>
    </row>
    <row r="776">
      <c r="A776" s="12" t="inlineStr">
        <is>
          <t>USR-100775</t>
        </is>
      </c>
      <c r="B776" s="29" t="n">
        <v>45770</v>
      </c>
      <c r="C776" s="12" t="inlineStr">
        <is>
          <t>Treatment</t>
        </is>
      </c>
      <c r="D776" s="12" t="inlineStr">
        <is>
          <t>West</t>
        </is>
      </c>
      <c r="E776" s="12" t="inlineStr">
        <is>
          <t>Mobile</t>
        </is>
      </c>
      <c r="F776" s="12" t="inlineStr">
        <is>
          <t>Social</t>
        </is>
      </c>
      <c r="G776" s="12" t="inlineStr">
        <is>
          <t>Free</t>
        </is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2</v>
      </c>
      <c r="N776" s="12" t="n">
        <v>0</v>
      </c>
      <c r="O776" s="12" t="n"/>
      <c r="P776" s="12" t="n">
        <v>60.5</v>
      </c>
    </row>
    <row r="777">
      <c r="A777" s="12" t="inlineStr">
        <is>
          <t>USR-100776</t>
        </is>
      </c>
      <c r="B777" s="29" t="n">
        <v>45759</v>
      </c>
      <c r="C777" s="12" t="inlineStr">
        <is>
          <t>Treatment</t>
        </is>
      </c>
      <c r="D777" s="12" t="inlineStr">
        <is>
          <t>North</t>
        </is>
      </c>
      <c r="E777" s="12" t="inlineStr">
        <is>
          <t>Desktop</t>
        </is>
      </c>
      <c r="F777" s="12" t="inlineStr">
        <is>
          <t>Paid Search</t>
        </is>
      </c>
      <c r="G777" s="12" t="inlineStr">
        <is>
          <t>Free</t>
        </is>
      </c>
      <c r="H777" s="12" t="n">
        <v>1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/>
      <c r="P777" s="12" t="n">
        <v>46.7</v>
      </c>
    </row>
    <row r="778">
      <c r="A778" s="12" t="inlineStr">
        <is>
          <t>USR-100777</t>
        </is>
      </c>
      <c r="B778" s="29" t="n">
        <v>45683</v>
      </c>
      <c r="C778" s="12" t="inlineStr">
        <is>
          <t>Treatment</t>
        </is>
      </c>
      <c r="D778" s="12" t="inlineStr">
        <is>
          <t>East</t>
        </is>
      </c>
      <c r="E778" s="12" t="inlineStr">
        <is>
          <t>Desktop</t>
        </is>
      </c>
      <c r="F778" s="12" t="inlineStr">
        <is>
          <t>Referral</t>
        </is>
      </c>
      <c r="G778" s="12" t="inlineStr">
        <is>
          <t>Free</t>
        </is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/>
      <c r="P778" s="12" t="n">
        <v>61</v>
      </c>
    </row>
    <row r="779">
      <c r="A779" s="12" t="inlineStr">
        <is>
          <t>USR-100778</t>
        </is>
      </c>
      <c r="B779" s="29" t="n">
        <v>45801</v>
      </c>
      <c r="C779" s="12" t="inlineStr">
        <is>
          <t>Treatment</t>
        </is>
      </c>
      <c r="D779" s="12" t="inlineStr">
        <is>
          <t>West</t>
        </is>
      </c>
      <c r="E779" s="12" t="inlineStr">
        <is>
          <t>Tablet</t>
        </is>
      </c>
      <c r="F779" s="12" t="inlineStr">
        <is>
          <t>Paid Search</t>
        </is>
      </c>
      <c r="G779" s="12" t="inlineStr">
        <is>
          <t>Free</t>
        </is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/>
      <c r="P779" s="12" t="n">
        <v>60.9</v>
      </c>
    </row>
    <row r="780">
      <c r="A780" s="12" t="inlineStr">
        <is>
          <t>USR-100779</t>
        </is>
      </c>
      <c r="B780" s="29" t="n">
        <v>45665</v>
      </c>
      <c r="C780" s="12" t="inlineStr">
        <is>
          <t>Treatment</t>
        </is>
      </c>
      <c r="D780" s="12" t="inlineStr">
        <is>
          <t>South</t>
        </is>
      </c>
      <c r="E780" s="12" t="inlineStr">
        <is>
          <t>Mobile</t>
        </is>
      </c>
      <c r="F780" s="12" t="inlineStr">
        <is>
          <t>Organic</t>
        </is>
      </c>
      <c r="G780" s="12" t="inlineStr">
        <is>
          <t>Free</t>
        </is>
      </c>
      <c r="H780" s="12" t="n">
        <v>1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/>
      <c r="P780" s="12" t="n">
        <v>67.09999999999999</v>
      </c>
    </row>
    <row r="781">
      <c r="A781" s="12" t="inlineStr">
        <is>
          <t>USR-100780</t>
        </is>
      </c>
      <c r="B781" s="29" t="n">
        <v>45762</v>
      </c>
      <c r="C781" s="12" t="inlineStr">
        <is>
          <t>Treatment</t>
        </is>
      </c>
      <c r="D781" s="12" t="inlineStr">
        <is>
          <t>North</t>
        </is>
      </c>
      <c r="E781" s="12" t="inlineStr">
        <is>
          <t>Mobile</t>
        </is>
      </c>
      <c r="F781" s="12" t="inlineStr">
        <is>
          <t>Referral</t>
        </is>
      </c>
      <c r="G781" s="12" t="inlineStr">
        <is>
          <t>Free</t>
        </is>
      </c>
      <c r="H781" s="12" t="n">
        <v>1</v>
      </c>
      <c r="I781" s="12" t="n">
        <v>1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/>
      <c r="P781" s="12" t="n">
        <v>59.6</v>
      </c>
    </row>
    <row r="782">
      <c r="A782" s="12" t="inlineStr">
        <is>
          <t>USR-100781</t>
        </is>
      </c>
      <c r="B782" s="29" t="n">
        <v>45672</v>
      </c>
      <c r="C782" s="12" t="inlineStr">
        <is>
          <t>Treatment</t>
        </is>
      </c>
      <c r="D782" s="12" t="inlineStr">
        <is>
          <t>South</t>
        </is>
      </c>
      <c r="E782" s="12" t="inlineStr">
        <is>
          <t>Desktop</t>
        </is>
      </c>
      <c r="F782" s="12" t="inlineStr">
        <is>
          <t>Paid Search</t>
        </is>
      </c>
      <c r="G782" s="12" t="inlineStr">
        <is>
          <t>Free</t>
        </is>
      </c>
      <c r="H782" s="12" t="n">
        <v>1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/>
      <c r="P782" s="12" t="n">
        <v>83.8</v>
      </c>
    </row>
    <row r="783">
      <c r="A783" s="12" t="inlineStr">
        <is>
          <t>USR-100782</t>
        </is>
      </c>
      <c r="B783" s="29" t="n">
        <v>45716</v>
      </c>
      <c r="C783" s="12" t="inlineStr">
        <is>
          <t>Treatment</t>
        </is>
      </c>
      <c r="D783" s="12" t="inlineStr">
        <is>
          <t>North</t>
        </is>
      </c>
      <c r="E783" s="12" t="inlineStr">
        <is>
          <t>Mobile</t>
        </is>
      </c>
      <c r="F783" s="12" t="inlineStr">
        <is>
          <t>Organic</t>
        </is>
      </c>
      <c r="G783" s="12" t="inlineStr">
        <is>
          <t>Basic</t>
        </is>
      </c>
      <c r="H783" s="12" t="n">
        <v>1</v>
      </c>
      <c r="I783" s="12" t="n">
        <v>1</v>
      </c>
      <c r="J783" s="12" t="n">
        <v>1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/>
      <c r="P783" s="12" t="n">
        <v>70.8</v>
      </c>
    </row>
    <row r="784">
      <c r="A784" s="12" t="inlineStr">
        <is>
          <t>USR-100783</t>
        </is>
      </c>
      <c r="B784" s="29" t="n">
        <v>45658</v>
      </c>
      <c r="C784" s="12" t="inlineStr">
        <is>
          <t>Treatment</t>
        </is>
      </c>
      <c r="D784" s="12" t="inlineStr">
        <is>
          <t>North</t>
        </is>
      </c>
      <c r="E784" s="12" t="inlineStr">
        <is>
          <t>Tablet</t>
        </is>
      </c>
      <c r="F784" s="12" t="inlineStr">
        <is>
          <t>Organic</t>
        </is>
      </c>
      <c r="G784" s="12" t="inlineStr">
        <is>
          <t>Basic</t>
        </is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/>
      <c r="P784" s="12" t="n">
        <v>65.90000000000001</v>
      </c>
    </row>
    <row r="785">
      <c r="A785" s="12" t="inlineStr">
        <is>
          <t>USR-100784</t>
        </is>
      </c>
      <c r="B785" s="29" t="n">
        <v>45764</v>
      </c>
      <c r="C785" s="12" t="inlineStr">
        <is>
          <t>Treatment</t>
        </is>
      </c>
      <c r="D785" s="12" t="inlineStr">
        <is>
          <t>West</t>
        </is>
      </c>
      <c r="E785" s="12" t="inlineStr">
        <is>
          <t>Mobile</t>
        </is>
      </c>
      <c r="F785" s="12" t="inlineStr">
        <is>
          <t>Referral</t>
        </is>
      </c>
      <c r="G785" s="12" t="inlineStr">
        <is>
          <t>Free</t>
        </is>
      </c>
      <c r="H785" s="12" t="n">
        <v>1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/>
      <c r="P785" s="12" t="n">
        <v>58</v>
      </c>
    </row>
    <row r="786">
      <c r="A786" s="12" t="inlineStr">
        <is>
          <t>USR-100785</t>
        </is>
      </c>
      <c r="B786" s="29" t="n">
        <v>45707</v>
      </c>
      <c r="C786" s="12" t="inlineStr">
        <is>
          <t>Treatment</t>
        </is>
      </c>
      <c r="D786" s="12" t="inlineStr">
        <is>
          <t>North</t>
        </is>
      </c>
      <c r="E786" s="12" t="inlineStr">
        <is>
          <t>Mobile</t>
        </is>
      </c>
      <c r="F786" s="12" t="inlineStr">
        <is>
          <t>Email</t>
        </is>
      </c>
      <c r="G786" s="12" t="inlineStr">
        <is>
          <t>Basic</t>
        </is>
      </c>
      <c r="H786" s="12" t="n">
        <v>1</v>
      </c>
      <c r="I786" s="12" t="n">
        <v>1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/>
      <c r="P786" s="12" t="n">
        <v>80.3</v>
      </c>
    </row>
    <row r="787">
      <c r="A787" s="12" t="inlineStr">
        <is>
          <t>USR-100786</t>
        </is>
      </c>
      <c r="B787" s="29" t="n">
        <v>45730</v>
      </c>
      <c r="C787" s="12" t="inlineStr">
        <is>
          <t>Treatment</t>
        </is>
      </c>
      <c r="D787" s="12" t="inlineStr">
        <is>
          <t>North</t>
        </is>
      </c>
      <c r="E787" s="12" t="inlineStr">
        <is>
          <t>Desktop</t>
        </is>
      </c>
      <c r="F787" s="12" t="inlineStr">
        <is>
          <t>Organic</t>
        </is>
      </c>
      <c r="G787" s="12" t="inlineStr">
        <is>
          <t>Free</t>
        </is>
      </c>
      <c r="H787" s="12" t="n">
        <v>1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/>
      <c r="P787" s="12" t="n">
        <v>55.7</v>
      </c>
    </row>
    <row r="788">
      <c r="A788" s="12" t="inlineStr">
        <is>
          <t>USR-100787</t>
        </is>
      </c>
      <c r="B788" s="29" t="n">
        <v>45768</v>
      </c>
      <c r="C788" s="12" t="inlineStr">
        <is>
          <t>Treatment</t>
        </is>
      </c>
      <c r="D788" s="12" t="inlineStr">
        <is>
          <t>North</t>
        </is>
      </c>
      <c r="E788" s="12" t="inlineStr">
        <is>
          <t>Mobile</t>
        </is>
      </c>
      <c r="F788" s="12" t="inlineStr">
        <is>
          <t>Organic</t>
        </is>
      </c>
      <c r="G788" s="12" t="inlineStr">
        <is>
          <t>Free</t>
        </is>
      </c>
      <c r="H788" s="12" t="n">
        <v>1</v>
      </c>
      <c r="I788" s="12" t="n">
        <v>1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/>
      <c r="P788" s="12" t="n">
        <v>84.90000000000001</v>
      </c>
    </row>
    <row r="789">
      <c r="A789" s="12" t="inlineStr">
        <is>
          <t>USR-100788</t>
        </is>
      </c>
      <c r="B789" s="29" t="n">
        <v>45702</v>
      </c>
      <c r="C789" s="12" t="inlineStr">
        <is>
          <t>Treatment</t>
        </is>
      </c>
      <c r="D789" s="12" t="inlineStr">
        <is>
          <t>North</t>
        </is>
      </c>
      <c r="E789" s="12" t="inlineStr">
        <is>
          <t>Mobile</t>
        </is>
      </c>
      <c r="F789" s="12" t="inlineStr">
        <is>
          <t>Organic</t>
        </is>
      </c>
      <c r="G789" s="12" t="inlineStr">
        <is>
          <t>Free</t>
        </is>
      </c>
      <c r="H789" s="12" t="n">
        <v>1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/>
      <c r="P789" s="12" t="n">
        <v>63.3</v>
      </c>
    </row>
    <row r="790">
      <c r="A790" s="12" t="inlineStr">
        <is>
          <t>USR-100789</t>
        </is>
      </c>
      <c r="B790" s="29" t="n">
        <v>45807</v>
      </c>
      <c r="C790" s="12" t="inlineStr">
        <is>
          <t>Treatment</t>
        </is>
      </c>
      <c r="D790" s="12" t="inlineStr">
        <is>
          <t>West</t>
        </is>
      </c>
      <c r="E790" s="12" t="inlineStr">
        <is>
          <t>Mobile</t>
        </is>
      </c>
      <c r="F790" s="12" t="inlineStr">
        <is>
          <t>Organic</t>
        </is>
      </c>
      <c r="G790" s="12" t="inlineStr">
        <is>
          <t>Free</t>
        </is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/>
      <c r="P790" s="12" t="n">
        <v>53.1</v>
      </c>
    </row>
    <row r="791">
      <c r="A791" s="12" t="inlineStr">
        <is>
          <t>USR-100790</t>
        </is>
      </c>
      <c r="B791" s="29" t="n">
        <v>45677</v>
      </c>
      <c r="C791" s="12" t="inlineStr">
        <is>
          <t>Treatment</t>
        </is>
      </c>
      <c r="D791" s="12" t="inlineStr">
        <is>
          <t>West</t>
        </is>
      </c>
      <c r="E791" s="12" t="inlineStr">
        <is>
          <t>Mobile</t>
        </is>
      </c>
      <c r="F791" s="12" t="inlineStr">
        <is>
          <t>Organic</t>
        </is>
      </c>
      <c r="G791" s="12" t="inlineStr">
        <is>
          <t>Free</t>
        </is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/>
      <c r="P791" s="12" t="n">
        <v>66</v>
      </c>
    </row>
    <row r="792">
      <c r="A792" s="12" t="inlineStr">
        <is>
          <t>USR-100791</t>
        </is>
      </c>
      <c r="B792" s="29" t="n">
        <v>45733</v>
      </c>
      <c r="C792" s="12" t="inlineStr">
        <is>
          <t>Treatment</t>
        </is>
      </c>
      <c r="D792" s="12" t="inlineStr">
        <is>
          <t>West</t>
        </is>
      </c>
      <c r="E792" s="12" t="inlineStr">
        <is>
          <t>Mobile</t>
        </is>
      </c>
      <c r="F792" s="12" t="inlineStr">
        <is>
          <t>Social</t>
        </is>
      </c>
      <c r="G792" s="12" t="inlineStr">
        <is>
          <t>Premium</t>
        </is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/>
      <c r="P792" s="12" t="n">
        <v>54.7</v>
      </c>
    </row>
    <row r="793">
      <c r="A793" s="12" t="inlineStr">
        <is>
          <t>USR-100792</t>
        </is>
      </c>
      <c r="B793" s="29" t="n">
        <v>45720</v>
      </c>
      <c r="C793" s="12" t="inlineStr">
        <is>
          <t>Treatment</t>
        </is>
      </c>
      <c r="D793" s="12" t="inlineStr">
        <is>
          <t>West</t>
        </is>
      </c>
      <c r="E793" s="12" t="inlineStr">
        <is>
          <t>Mobile</t>
        </is>
      </c>
      <c r="F793" s="12" t="inlineStr">
        <is>
          <t>Social</t>
        </is>
      </c>
      <c r="G793" s="12" t="inlineStr">
        <is>
          <t>Free</t>
        </is>
      </c>
      <c r="H793" s="12" t="n">
        <v>1</v>
      </c>
      <c r="I793" s="12" t="n">
        <v>1</v>
      </c>
      <c r="J793" s="12" t="n">
        <v>0</v>
      </c>
      <c r="K793" s="12" t="n">
        <v>0</v>
      </c>
      <c r="L793" s="12" t="n">
        <v>0</v>
      </c>
      <c r="M793" s="12" t="n">
        <v>1</v>
      </c>
      <c r="N793" s="12" t="n">
        <v>0</v>
      </c>
      <c r="O793" s="12" t="n"/>
      <c r="P793" s="12" t="n">
        <v>41.2</v>
      </c>
    </row>
    <row r="794">
      <c r="A794" s="12" t="inlineStr">
        <is>
          <t>USR-100793</t>
        </is>
      </c>
      <c r="B794" s="29" t="n">
        <v>45710</v>
      </c>
      <c r="C794" s="12" t="inlineStr">
        <is>
          <t>Treatment</t>
        </is>
      </c>
      <c r="D794" s="12" t="inlineStr">
        <is>
          <t>South</t>
        </is>
      </c>
      <c r="E794" s="12" t="inlineStr">
        <is>
          <t>Mobile</t>
        </is>
      </c>
      <c r="F794" s="12" t="inlineStr">
        <is>
          <t>Organic</t>
        </is>
      </c>
      <c r="G794" s="12" t="inlineStr">
        <is>
          <t>Premium</t>
        </is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/>
      <c r="P794" s="12" t="n">
        <v>66.7</v>
      </c>
    </row>
    <row r="795">
      <c r="A795" s="12" t="inlineStr">
        <is>
          <t>USR-100794</t>
        </is>
      </c>
      <c r="B795" s="29" t="n">
        <v>45779</v>
      </c>
      <c r="C795" s="12" t="inlineStr">
        <is>
          <t>Treatment</t>
        </is>
      </c>
      <c r="D795" s="12" t="inlineStr">
        <is>
          <t>North</t>
        </is>
      </c>
      <c r="E795" s="12" t="inlineStr">
        <is>
          <t>Mobile</t>
        </is>
      </c>
      <c r="F795" s="12" t="inlineStr">
        <is>
          <t>Paid Search</t>
        </is>
      </c>
      <c r="G795" s="12" t="inlineStr">
        <is>
          <t>Premium</t>
        </is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/>
      <c r="P795" s="12" t="n">
        <v>39.4</v>
      </c>
    </row>
    <row r="796">
      <c r="A796" s="12" t="inlineStr">
        <is>
          <t>USR-100795</t>
        </is>
      </c>
      <c r="B796" s="29" t="n">
        <v>45729</v>
      </c>
      <c r="C796" s="12" t="inlineStr">
        <is>
          <t>Treatment</t>
        </is>
      </c>
      <c r="D796" s="12" t="inlineStr">
        <is>
          <t>West</t>
        </is>
      </c>
      <c r="E796" s="12" t="inlineStr">
        <is>
          <t>Desktop</t>
        </is>
      </c>
      <c r="F796" s="12" t="inlineStr">
        <is>
          <t>Organic</t>
        </is>
      </c>
      <c r="G796" s="12" t="inlineStr">
        <is>
          <t>Premium</t>
        </is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3</v>
      </c>
      <c r="N796" s="12" t="n">
        <v>0</v>
      </c>
      <c r="O796" s="12" t="n"/>
      <c r="P796" s="12" t="n">
        <v>67</v>
      </c>
    </row>
    <row r="797">
      <c r="A797" s="12" t="inlineStr">
        <is>
          <t>USR-100796</t>
        </is>
      </c>
      <c r="B797" s="29" t="n">
        <v>45808</v>
      </c>
      <c r="C797" s="12" t="inlineStr">
        <is>
          <t>Treatment</t>
        </is>
      </c>
      <c r="D797" s="12" t="inlineStr">
        <is>
          <t>South</t>
        </is>
      </c>
      <c r="E797" s="12" t="inlineStr">
        <is>
          <t>Mobile</t>
        </is>
      </c>
      <c r="F797" s="12" t="inlineStr">
        <is>
          <t>Organic</t>
        </is>
      </c>
      <c r="G797" s="12" t="inlineStr">
        <is>
          <t>Basic</t>
        </is>
      </c>
      <c r="H797" s="12" t="n">
        <v>1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/>
      <c r="P797" s="12" t="n">
        <v>50.4</v>
      </c>
    </row>
    <row r="798">
      <c r="A798" s="12" t="inlineStr">
        <is>
          <t>USR-100797</t>
        </is>
      </c>
      <c r="B798" s="29" t="n">
        <v>45723</v>
      </c>
      <c r="C798" s="12" t="inlineStr">
        <is>
          <t>Treatment</t>
        </is>
      </c>
      <c r="D798" s="12" t="inlineStr">
        <is>
          <t>West</t>
        </is>
      </c>
      <c r="E798" s="12" t="inlineStr">
        <is>
          <t>Desktop</t>
        </is>
      </c>
      <c r="F798" s="12" t="inlineStr">
        <is>
          <t>Social</t>
        </is>
      </c>
      <c r="G798" s="12" t="inlineStr">
        <is>
          <t>Free</t>
        </is>
      </c>
      <c r="H798" s="12" t="n">
        <v>1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/>
      <c r="P798" s="12" t="n">
        <v>53.8</v>
      </c>
    </row>
    <row r="799">
      <c r="A799" s="12" t="inlineStr">
        <is>
          <t>USR-100798</t>
        </is>
      </c>
      <c r="B799" s="29" t="n">
        <v>45710</v>
      </c>
      <c r="C799" s="12" t="inlineStr">
        <is>
          <t>Treatment</t>
        </is>
      </c>
      <c r="D799" s="12" t="inlineStr">
        <is>
          <t>West</t>
        </is>
      </c>
      <c r="E799" s="12" t="inlineStr">
        <is>
          <t>Mobile</t>
        </is>
      </c>
      <c r="F799" s="12" t="inlineStr">
        <is>
          <t>Paid Search</t>
        </is>
      </c>
      <c r="G799" s="12" t="inlineStr">
        <is>
          <t>Basic</t>
        </is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1</v>
      </c>
      <c r="N799" s="12" t="n">
        <v>0</v>
      </c>
      <c r="O799" s="12" t="n"/>
      <c r="P799" s="12" t="n">
        <v>82.7</v>
      </c>
    </row>
    <row r="800">
      <c r="A800" s="12" t="inlineStr">
        <is>
          <t>USR-100799</t>
        </is>
      </c>
      <c r="B800" s="29" t="n">
        <v>45662</v>
      </c>
      <c r="C800" s="12" t="inlineStr">
        <is>
          <t>Treatment</t>
        </is>
      </c>
      <c r="D800" s="12" t="inlineStr">
        <is>
          <t>West</t>
        </is>
      </c>
      <c r="E800" s="12" t="inlineStr">
        <is>
          <t>Desktop</t>
        </is>
      </c>
      <c r="F800" s="12" t="inlineStr">
        <is>
          <t>Paid Search</t>
        </is>
      </c>
      <c r="G800" s="12" t="inlineStr">
        <is>
          <t>Free</t>
        </is>
      </c>
      <c r="H800" s="12" t="n">
        <v>1</v>
      </c>
      <c r="I800" s="12" t="n">
        <v>1</v>
      </c>
      <c r="J800" s="12" t="n">
        <v>1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/>
      <c r="P800" s="12" t="n">
        <v>63.9</v>
      </c>
    </row>
    <row r="801">
      <c r="A801" s="12" t="inlineStr">
        <is>
          <t>USR-100800</t>
        </is>
      </c>
      <c r="B801" s="29" t="n">
        <v>45678</v>
      </c>
      <c r="C801" s="12" t="inlineStr">
        <is>
          <t>Treatment</t>
        </is>
      </c>
      <c r="D801" s="12" t="inlineStr">
        <is>
          <t>West</t>
        </is>
      </c>
      <c r="E801" s="12" t="inlineStr">
        <is>
          <t>Mobile</t>
        </is>
      </c>
      <c r="F801" s="12" t="inlineStr">
        <is>
          <t>Referral</t>
        </is>
      </c>
      <c r="G801" s="12" t="inlineStr">
        <is>
          <t>Free</t>
        </is>
      </c>
      <c r="H801" s="12" t="n">
        <v>1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/>
      <c r="P801" s="12" t="n">
        <v>61.9</v>
      </c>
    </row>
    <row r="802">
      <c r="A802" s="12" t="inlineStr">
        <is>
          <t>USR-100801</t>
        </is>
      </c>
      <c r="B802" s="29" t="n">
        <v>45682</v>
      </c>
      <c r="C802" s="12" t="inlineStr">
        <is>
          <t>Treatment</t>
        </is>
      </c>
      <c r="D802" s="12" t="inlineStr">
        <is>
          <t>North</t>
        </is>
      </c>
      <c r="E802" s="12" t="inlineStr">
        <is>
          <t>Desktop</t>
        </is>
      </c>
      <c r="F802" s="12" t="inlineStr">
        <is>
          <t>Social</t>
        </is>
      </c>
      <c r="G802" s="12" t="inlineStr">
        <is>
          <t>Free</t>
        </is>
      </c>
      <c r="H802" s="12" t="n">
        <v>1</v>
      </c>
      <c r="I802" s="12" t="n">
        <v>1</v>
      </c>
      <c r="J802" s="12" t="n">
        <v>1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/>
      <c r="P802" s="12" t="n">
        <v>75</v>
      </c>
    </row>
    <row r="803">
      <c r="A803" s="12" t="inlineStr">
        <is>
          <t>USR-100802</t>
        </is>
      </c>
      <c r="B803" s="29" t="n">
        <v>45751</v>
      </c>
      <c r="C803" s="12" t="inlineStr">
        <is>
          <t>Treatment</t>
        </is>
      </c>
      <c r="D803" s="12" t="inlineStr">
        <is>
          <t>West</t>
        </is>
      </c>
      <c r="E803" s="12" t="inlineStr">
        <is>
          <t>Mobile</t>
        </is>
      </c>
      <c r="F803" s="12" t="inlineStr">
        <is>
          <t>Paid Search</t>
        </is>
      </c>
      <c r="G803" s="12" t="inlineStr">
        <is>
          <t>Basic</t>
        </is>
      </c>
      <c r="H803" s="12" t="n">
        <v>1</v>
      </c>
      <c r="I803" s="12" t="n">
        <v>1</v>
      </c>
      <c r="J803" s="12" t="n">
        <v>1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/>
      <c r="P803" s="12" t="n">
        <v>43</v>
      </c>
    </row>
    <row r="804">
      <c r="A804" s="12" t="inlineStr">
        <is>
          <t>USR-100803</t>
        </is>
      </c>
      <c r="B804" s="29" t="n">
        <v>45741</v>
      </c>
      <c r="C804" s="12" t="inlineStr">
        <is>
          <t>Treatment</t>
        </is>
      </c>
      <c r="D804" s="12" t="inlineStr">
        <is>
          <t>North</t>
        </is>
      </c>
      <c r="E804" s="12" t="inlineStr">
        <is>
          <t>Desktop</t>
        </is>
      </c>
      <c r="F804" s="12" t="inlineStr">
        <is>
          <t>Social</t>
        </is>
      </c>
      <c r="G804" s="12" t="inlineStr">
        <is>
          <t>Premium</t>
        </is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/>
      <c r="P804" s="12" t="n">
        <v>54.3</v>
      </c>
    </row>
    <row r="805">
      <c r="A805" s="12" t="inlineStr">
        <is>
          <t>USR-100804</t>
        </is>
      </c>
      <c r="B805" s="29" t="n">
        <v>45735</v>
      </c>
      <c r="C805" s="12" t="inlineStr">
        <is>
          <t>Treatment</t>
        </is>
      </c>
      <c r="D805" s="12" t="inlineStr">
        <is>
          <t>West</t>
        </is>
      </c>
      <c r="E805" s="12" t="inlineStr">
        <is>
          <t>Mobile</t>
        </is>
      </c>
      <c r="F805" s="12" t="inlineStr">
        <is>
          <t>Social</t>
        </is>
      </c>
      <c r="G805" s="12" t="inlineStr">
        <is>
          <t>Free</t>
        </is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2</v>
      </c>
      <c r="N805" s="12" t="n">
        <v>0</v>
      </c>
      <c r="O805" s="12" t="n"/>
      <c r="P805" s="12" t="n">
        <v>44.3</v>
      </c>
    </row>
    <row r="806">
      <c r="A806" s="12" t="inlineStr">
        <is>
          <t>USR-100805</t>
        </is>
      </c>
      <c r="B806" s="29" t="n">
        <v>45771</v>
      </c>
      <c r="C806" s="12" t="inlineStr">
        <is>
          <t>Treatment</t>
        </is>
      </c>
      <c r="D806" s="12" t="inlineStr">
        <is>
          <t>West</t>
        </is>
      </c>
      <c r="E806" s="12" t="inlineStr">
        <is>
          <t>Desktop</t>
        </is>
      </c>
      <c r="F806" s="12" t="inlineStr">
        <is>
          <t>Organic</t>
        </is>
      </c>
      <c r="G806" s="12" t="inlineStr">
        <is>
          <t>Free</t>
        </is>
      </c>
      <c r="H806" s="12" t="n">
        <v>1</v>
      </c>
      <c r="I806" s="12" t="n">
        <v>1</v>
      </c>
      <c r="J806" s="12" t="n">
        <v>1</v>
      </c>
      <c r="K806" s="12" t="n">
        <v>1</v>
      </c>
      <c r="L806" s="12" t="n">
        <v>402.88</v>
      </c>
      <c r="M806" s="12" t="n">
        <v>0</v>
      </c>
      <c r="N806" s="12" t="n">
        <v>0</v>
      </c>
      <c r="O806" s="12" t="n">
        <v>12</v>
      </c>
      <c r="P806" s="12" t="n">
        <v>76</v>
      </c>
    </row>
    <row r="807">
      <c r="A807" s="12" t="inlineStr">
        <is>
          <t>USR-100806</t>
        </is>
      </c>
      <c r="B807" s="29" t="n">
        <v>45751</v>
      </c>
      <c r="C807" s="12" t="inlineStr">
        <is>
          <t>Treatment</t>
        </is>
      </c>
      <c r="D807" s="12" t="inlineStr">
        <is>
          <t>South</t>
        </is>
      </c>
      <c r="E807" s="12" t="inlineStr">
        <is>
          <t>Tablet</t>
        </is>
      </c>
      <c r="F807" s="12" t="inlineStr">
        <is>
          <t>Organic</t>
        </is>
      </c>
      <c r="G807" s="12" t="inlineStr">
        <is>
          <t>Free</t>
        </is>
      </c>
      <c r="H807" s="12" t="n">
        <v>1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2</v>
      </c>
      <c r="N807" s="12" t="n">
        <v>0</v>
      </c>
      <c r="O807" s="12" t="n"/>
      <c r="P807" s="12" t="n">
        <v>65.3</v>
      </c>
    </row>
    <row r="808">
      <c r="A808" s="12" t="inlineStr">
        <is>
          <t>USR-100807</t>
        </is>
      </c>
      <c r="B808" s="29" t="n">
        <v>45744</v>
      </c>
      <c r="C808" s="12" t="inlineStr">
        <is>
          <t>Treatment</t>
        </is>
      </c>
      <c r="D808" s="12" t="inlineStr">
        <is>
          <t>South</t>
        </is>
      </c>
      <c r="E808" s="12" t="inlineStr">
        <is>
          <t>Desktop</t>
        </is>
      </c>
      <c r="F808" s="12" t="inlineStr">
        <is>
          <t>Paid Search</t>
        </is>
      </c>
      <c r="G808" s="12" t="inlineStr">
        <is>
          <t>Premium</t>
        </is>
      </c>
      <c r="H808" s="12" t="n">
        <v>1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/>
      <c r="P808" s="12" t="n">
        <v>71.2</v>
      </c>
    </row>
    <row r="809">
      <c r="A809" s="12" t="inlineStr">
        <is>
          <t>USR-100808</t>
        </is>
      </c>
      <c r="B809" s="29" t="n">
        <v>45792</v>
      </c>
      <c r="C809" s="12" t="inlineStr">
        <is>
          <t>Treatment</t>
        </is>
      </c>
      <c r="D809" s="12" t="inlineStr">
        <is>
          <t>South</t>
        </is>
      </c>
      <c r="E809" s="12" t="inlineStr">
        <is>
          <t>Tablet</t>
        </is>
      </c>
      <c r="F809" s="12" t="inlineStr">
        <is>
          <t>Paid Search</t>
        </is>
      </c>
      <c r="G809" s="12" t="inlineStr">
        <is>
          <t>Free</t>
        </is>
      </c>
      <c r="H809" s="12" t="n">
        <v>1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/>
      <c r="P809" s="12" t="n">
        <v>77.90000000000001</v>
      </c>
    </row>
    <row r="810">
      <c r="A810" s="12" t="inlineStr">
        <is>
          <t>USR-100809</t>
        </is>
      </c>
      <c r="B810" s="29" t="n">
        <v>45729</v>
      </c>
      <c r="C810" s="12" t="inlineStr">
        <is>
          <t>Treatment</t>
        </is>
      </c>
      <c r="D810" s="12" t="inlineStr">
        <is>
          <t>West</t>
        </is>
      </c>
      <c r="E810" s="12" t="inlineStr">
        <is>
          <t>Mobile</t>
        </is>
      </c>
      <c r="F810" s="12" t="inlineStr">
        <is>
          <t>Paid Search</t>
        </is>
      </c>
      <c r="G810" s="12" t="inlineStr">
        <is>
          <t>Free</t>
        </is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/>
      <c r="P810" s="12" t="n">
        <v>48.6</v>
      </c>
    </row>
    <row r="811">
      <c r="A811" s="12" t="inlineStr">
        <is>
          <t>USR-100810</t>
        </is>
      </c>
      <c r="B811" s="29" t="n">
        <v>45742</v>
      </c>
      <c r="C811" s="12" t="inlineStr">
        <is>
          <t>Treatment</t>
        </is>
      </c>
      <c r="D811" s="12" t="inlineStr">
        <is>
          <t>North</t>
        </is>
      </c>
      <c r="E811" s="12" t="inlineStr">
        <is>
          <t>Mobile</t>
        </is>
      </c>
      <c r="F811" s="12" t="inlineStr">
        <is>
          <t>Social</t>
        </is>
      </c>
      <c r="G811" s="12" t="inlineStr">
        <is>
          <t>Premium</t>
        </is>
      </c>
      <c r="H811" s="12" t="n">
        <v>1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/>
      <c r="P811" s="12" t="n">
        <v>61.9</v>
      </c>
    </row>
    <row r="812">
      <c r="A812" s="12" t="inlineStr">
        <is>
          <t>USR-100811</t>
        </is>
      </c>
      <c r="B812" s="29" t="n">
        <v>45666</v>
      </c>
      <c r="C812" s="12" t="inlineStr">
        <is>
          <t>Treatment</t>
        </is>
      </c>
      <c r="D812" s="12" t="inlineStr">
        <is>
          <t>North</t>
        </is>
      </c>
      <c r="E812" s="12" t="inlineStr">
        <is>
          <t>Mobile</t>
        </is>
      </c>
      <c r="F812" s="12" t="inlineStr">
        <is>
          <t>Social</t>
        </is>
      </c>
      <c r="G812" s="12" t="inlineStr">
        <is>
          <t>Basic</t>
        </is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1</v>
      </c>
      <c r="N812" s="12" t="n">
        <v>0</v>
      </c>
      <c r="O812" s="12" t="n"/>
      <c r="P812" s="12" t="n">
        <v>58.7</v>
      </c>
    </row>
    <row r="813">
      <c r="A813" s="12" t="inlineStr">
        <is>
          <t>USR-100812</t>
        </is>
      </c>
      <c r="B813" s="29" t="n">
        <v>45783</v>
      </c>
      <c r="C813" s="12" t="inlineStr">
        <is>
          <t>Treatment</t>
        </is>
      </c>
      <c r="D813" s="12" t="inlineStr">
        <is>
          <t>South</t>
        </is>
      </c>
      <c r="E813" s="12" t="inlineStr">
        <is>
          <t>Desktop</t>
        </is>
      </c>
      <c r="F813" s="12" t="inlineStr">
        <is>
          <t>Paid Search</t>
        </is>
      </c>
      <c r="G813" s="12" t="inlineStr">
        <is>
          <t>Free</t>
        </is>
      </c>
      <c r="H813" s="12" t="n">
        <v>1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/>
      <c r="P813" s="12" t="n">
        <v>69.59999999999999</v>
      </c>
    </row>
    <row r="814">
      <c r="A814" s="12" t="inlineStr">
        <is>
          <t>USR-100813</t>
        </is>
      </c>
      <c r="B814" s="29" t="n">
        <v>45705</v>
      </c>
      <c r="C814" s="12" t="inlineStr">
        <is>
          <t>Treatment</t>
        </is>
      </c>
      <c r="D814" s="12" t="inlineStr">
        <is>
          <t>South</t>
        </is>
      </c>
      <c r="E814" s="12" t="inlineStr">
        <is>
          <t>Mobile</t>
        </is>
      </c>
      <c r="F814" s="12" t="inlineStr">
        <is>
          <t>Organic</t>
        </is>
      </c>
      <c r="G814" s="12" t="inlineStr">
        <is>
          <t>Free</t>
        </is>
      </c>
      <c r="H814" s="12" t="n">
        <v>1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/>
      <c r="P814" s="12" t="n">
        <v>51.5</v>
      </c>
    </row>
    <row r="815">
      <c r="A815" s="12" t="inlineStr">
        <is>
          <t>USR-100814</t>
        </is>
      </c>
      <c r="B815" s="29" t="n">
        <v>45752</v>
      </c>
      <c r="C815" s="12" t="inlineStr">
        <is>
          <t>Treatment</t>
        </is>
      </c>
      <c r="D815" s="12" t="inlineStr">
        <is>
          <t>East</t>
        </is>
      </c>
      <c r="E815" s="12" t="inlineStr">
        <is>
          <t>Mobile</t>
        </is>
      </c>
      <c r="F815" s="12" t="inlineStr">
        <is>
          <t>Paid Search</t>
        </is>
      </c>
      <c r="G815" s="12" t="inlineStr">
        <is>
          <t>Free</t>
        </is>
      </c>
      <c r="H815" s="12" t="n">
        <v>1</v>
      </c>
      <c r="I815" s="12" t="n">
        <v>1</v>
      </c>
      <c r="J815" s="12" t="n">
        <v>1</v>
      </c>
      <c r="K815" s="12" t="n">
        <v>1</v>
      </c>
      <c r="L815" s="12" t="n">
        <v>277.69</v>
      </c>
      <c r="M815" s="12" t="n">
        <v>3</v>
      </c>
      <c r="N815" s="12" t="n">
        <v>0</v>
      </c>
      <c r="O815" s="12" t="n">
        <v>8</v>
      </c>
      <c r="P815" s="12" t="n">
        <v>46</v>
      </c>
    </row>
    <row r="816">
      <c r="A816" s="12" t="inlineStr">
        <is>
          <t>USR-100815</t>
        </is>
      </c>
      <c r="B816" s="29" t="n">
        <v>45760</v>
      </c>
      <c r="C816" s="12" t="inlineStr">
        <is>
          <t>Treatment</t>
        </is>
      </c>
      <c r="D816" s="12" t="inlineStr">
        <is>
          <t>West</t>
        </is>
      </c>
      <c r="E816" s="12" t="inlineStr">
        <is>
          <t>Tablet</t>
        </is>
      </c>
      <c r="F816" s="12" t="inlineStr">
        <is>
          <t>Organic</t>
        </is>
      </c>
      <c r="G816" s="12" t="inlineStr">
        <is>
          <t>Free</t>
        </is>
      </c>
      <c r="H816" s="12" t="n">
        <v>1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/>
      <c r="P816" s="12" t="n">
        <v>81.7</v>
      </c>
    </row>
    <row r="817">
      <c r="A817" s="12" t="inlineStr">
        <is>
          <t>USR-100816</t>
        </is>
      </c>
      <c r="B817" s="29" t="n">
        <v>45797</v>
      </c>
      <c r="C817" s="12" t="inlineStr">
        <is>
          <t>Treatment</t>
        </is>
      </c>
      <c r="D817" s="12" t="inlineStr">
        <is>
          <t>East</t>
        </is>
      </c>
      <c r="E817" s="12" t="inlineStr">
        <is>
          <t>Desktop</t>
        </is>
      </c>
      <c r="F817" s="12" t="inlineStr">
        <is>
          <t>Referral</t>
        </is>
      </c>
      <c r="G817" s="12" t="inlineStr">
        <is>
          <t>Free</t>
        </is>
      </c>
      <c r="H817" s="12" t="n">
        <v>1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/>
      <c r="P817" s="12" t="n">
        <v>48.3</v>
      </c>
    </row>
    <row r="818">
      <c r="A818" s="12" t="inlineStr">
        <is>
          <t>USR-100817</t>
        </is>
      </c>
      <c r="B818" s="29" t="n">
        <v>45747</v>
      </c>
      <c r="C818" s="12" t="inlineStr">
        <is>
          <t>Treatment</t>
        </is>
      </c>
      <c r="D818" s="12" t="inlineStr">
        <is>
          <t>East</t>
        </is>
      </c>
      <c r="E818" s="12" t="inlineStr">
        <is>
          <t>Mobile</t>
        </is>
      </c>
      <c r="F818" s="12" t="inlineStr">
        <is>
          <t>Email</t>
        </is>
      </c>
      <c r="G818" s="12" t="inlineStr">
        <is>
          <t>Free</t>
        </is>
      </c>
      <c r="H818" s="12" t="n">
        <v>1</v>
      </c>
      <c r="I818" s="12" t="n">
        <v>1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/>
      <c r="P818" s="12" t="n">
        <v>85.59999999999999</v>
      </c>
    </row>
    <row r="819">
      <c r="A819" s="12" t="inlineStr">
        <is>
          <t>USR-100818</t>
        </is>
      </c>
      <c r="B819" s="29" t="n">
        <v>45750</v>
      </c>
      <c r="C819" s="12" t="inlineStr">
        <is>
          <t>Treatment</t>
        </is>
      </c>
      <c r="D819" s="12" t="inlineStr">
        <is>
          <t>West</t>
        </is>
      </c>
      <c r="E819" s="12" t="inlineStr">
        <is>
          <t>Tablet</t>
        </is>
      </c>
      <c r="F819" s="12" t="inlineStr">
        <is>
          <t>Paid Search</t>
        </is>
      </c>
      <c r="G819" s="12" t="inlineStr">
        <is>
          <t>Basic</t>
        </is>
      </c>
      <c r="H819" s="12" t="n">
        <v>1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/>
      <c r="P819" s="12" t="n">
        <v>53.8</v>
      </c>
    </row>
    <row r="820">
      <c r="A820" s="12" t="inlineStr">
        <is>
          <t>USR-100819</t>
        </is>
      </c>
      <c r="B820" s="29" t="n">
        <v>45692</v>
      </c>
      <c r="C820" s="12" t="inlineStr">
        <is>
          <t>Treatment</t>
        </is>
      </c>
      <c r="D820" s="12" t="inlineStr">
        <is>
          <t>South</t>
        </is>
      </c>
      <c r="E820" s="12" t="inlineStr">
        <is>
          <t>Mobile</t>
        </is>
      </c>
      <c r="F820" s="12" t="inlineStr">
        <is>
          <t>Organic</t>
        </is>
      </c>
      <c r="G820" s="12" t="inlineStr">
        <is>
          <t>Free</t>
        </is>
      </c>
      <c r="H820" s="12" t="n">
        <v>1</v>
      </c>
      <c r="I820" s="12" t="n">
        <v>1</v>
      </c>
      <c r="J820" s="12" t="n">
        <v>1</v>
      </c>
      <c r="K820" s="12" t="n">
        <v>1</v>
      </c>
      <c r="L820" s="12" t="n">
        <v>460.83</v>
      </c>
      <c r="M820" s="12" t="n">
        <v>2</v>
      </c>
      <c r="N820" s="12" t="n">
        <v>0</v>
      </c>
      <c r="O820" s="12" t="n">
        <v>0</v>
      </c>
      <c r="P820" s="12" t="n">
        <v>69.7</v>
      </c>
    </row>
    <row r="821">
      <c r="A821" s="12" t="inlineStr">
        <is>
          <t>USR-100820</t>
        </is>
      </c>
      <c r="B821" s="29" t="n">
        <v>45796</v>
      </c>
      <c r="C821" s="12" t="inlineStr">
        <is>
          <t>Treatment</t>
        </is>
      </c>
      <c r="D821" s="12" t="inlineStr">
        <is>
          <t>East</t>
        </is>
      </c>
      <c r="E821" s="12" t="inlineStr">
        <is>
          <t>Mobile</t>
        </is>
      </c>
      <c r="F821" s="12" t="inlineStr">
        <is>
          <t>Organic</t>
        </is>
      </c>
      <c r="G821" s="12" t="inlineStr">
        <is>
          <t>Free</t>
        </is>
      </c>
      <c r="H821" s="12" t="n">
        <v>1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/>
      <c r="P821" s="12" t="n">
        <v>74.8</v>
      </c>
    </row>
    <row r="822">
      <c r="A822" s="12" t="inlineStr">
        <is>
          <t>USR-100821</t>
        </is>
      </c>
      <c r="B822" s="29" t="n">
        <v>45724</v>
      </c>
      <c r="C822" s="12" t="inlineStr">
        <is>
          <t>Treatment</t>
        </is>
      </c>
      <c r="D822" s="12" t="inlineStr">
        <is>
          <t>East</t>
        </is>
      </c>
      <c r="E822" s="12" t="inlineStr">
        <is>
          <t>Desktop</t>
        </is>
      </c>
      <c r="F822" s="12" t="inlineStr">
        <is>
          <t>Paid Search</t>
        </is>
      </c>
      <c r="G822" s="12" t="inlineStr">
        <is>
          <t>Basic</t>
        </is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/>
      <c r="P822" s="12" t="n">
        <v>87.90000000000001</v>
      </c>
    </row>
    <row r="823">
      <c r="A823" s="12" t="inlineStr">
        <is>
          <t>USR-100822</t>
        </is>
      </c>
      <c r="B823" s="29" t="n">
        <v>45787</v>
      </c>
      <c r="C823" s="12" t="inlineStr">
        <is>
          <t>Treatment</t>
        </is>
      </c>
      <c r="D823" s="12" t="inlineStr">
        <is>
          <t>North</t>
        </is>
      </c>
      <c r="E823" s="12" t="inlineStr">
        <is>
          <t>Mobile</t>
        </is>
      </c>
      <c r="F823" s="12" t="inlineStr">
        <is>
          <t>Social</t>
        </is>
      </c>
      <c r="G823" s="12" t="inlineStr">
        <is>
          <t>Basic</t>
        </is>
      </c>
      <c r="H823" s="12" t="n">
        <v>1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1</v>
      </c>
      <c r="N823" s="12" t="n">
        <v>0</v>
      </c>
      <c r="O823" s="12" t="n"/>
      <c r="P823" s="12" t="n">
        <v>49.1</v>
      </c>
    </row>
    <row r="824">
      <c r="A824" s="12" t="inlineStr">
        <is>
          <t>USR-100823</t>
        </is>
      </c>
      <c r="B824" s="29" t="n">
        <v>45659</v>
      </c>
      <c r="C824" s="12" t="inlineStr">
        <is>
          <t>Treatment</t>
        </is>
      </c>
      <c r="D824" s="12" t="inlineStr">
        <is>
          <t>East</t>
        </is>
      </c>
      <c r="E824" s="12" t="inlineStr">
        <is>
          <t>Desktop</t>
        </is>
      </c>
      <c r="F824" s="12" t="inlineStr">
        <is>
          <t>Social</t>
        </is>
      </c>
      <c r="G824" s="12" t="inlineStr">
        <is>
          <t>Basic</t>
        </is>
      </c>
      <c r="H824" s="12" t="n">
        <v>1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2</v>
      </c>
      <c r="N824" s="12" t="n">
        <v>0</v>
      </c>
      <c r="O824" s="12" t="n"/>
      <c r="P824" s="12" t="n">
        <v>73</v>
      </c>
    </row>
    <row r="825">
      <c r="A825" s="12" t="inlineStr">
        <is>
          <t>USR-100824</t>
        </is>
      </c>
      <c r="B825" s="29" t="n">
        <v>45674</v>
      </c>
      <c r="C825" s="12" t="inlineStr">
        <is>
          <t>Treatment</t>
        </is>
      </c>
      <c r="D825" s="12" t="inlineStr">
        <is>
          <t>West</t>
        </is>
      </c>
      <c r="E825" s="12" t="inlineStr">
        <is>
          <t>Mobile</t>
        </is>
      </c>
      <c r="F825" s="12" t="inlineStr">
        <is>
          <t>Organic</t>
        </is>
      </c>
      <c r="G825" s="12" t="inlineStr">
        <is>
          <t>Basic</t>
        </is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/>
      <c r="P825" s="12" t="n">
        <v>79.5</v>
      </c>
    </row>
    <row r="826">
      <c r="A826" s="12" t="inlineStr">
        <is>
          <t>USR-100825</t>
        </is>
      </c>
      <c r="B826" s="29" t="n">
        <v>45798</v>
      </c>
      <c r="C826" s="12" t="inlineStr">
        <is>
          <t>Treatment</t>
        </is>
      </c>
      <c r="D826" s="12" t="inlineStr">
        <is>
          <t>West</t>
        </is>
      </c>
      <c r="E826" s="12" t="inlineStr">
        <is>
          <t>Mobile</t>
        </is>
      </c>
      <c r="F826" s="12" t="inlineStr">
        <is>
          <t>Referral</t>
        </is>
      </c>
      <c r="G826" s="12" t="inlineStr">
        <is>
          <t>Basic</t>
        </is>
      </c>
      <c r="H826" s="12" t="n">
        <v>1</v>
      </c>
      <c r="I826" s="12" t="n">
        <v>1</v>
      </c>
      <c r="J826" s="12" t="n">
        <v>1</v>
      </c>
      <c r="K826" s="12" t="n">
        <v>1</v>
      </c>
      <c r="L826" s="12" t="n">
        <v>782.23</v>
      </c>
      <c r="M826" s="12" t="n">
        <v>1</v>
      </c>
      <c r="N826" s="12" t="n">
        <v>0</v>
      </c>
      <c r="O826" s="12" t="n">
        <v>6</v>
      </c>
      <c r="P826" s="12" t="n">
        <v>93.2</v>
      </c>
    </row>
    <row r="827">
      <c r="A827" s="12" t="inlineStr">
        <is>
          <t>USR-100826</t>
        </is>
      </c>
      <c r="B827" s="29" t="n">
        <v>45802</v>
      </c>
      <c r="C827" s="12" t="inlineStr">
        <is>
          <t>Treatment</t>
        </is>
      </c>
      <c r="D827" s="12" t="inlineStr">
        <is>
          <t>East</t>
        </is>
      </c>
      <c r="E827" s="12" t="inlineStr">
        <is>
          <t>Desktop</t>
        </is>
      </c>
      <c r="F827" s="12" t="inlineStr">
        <is>
          <t>Referral</t>
        </is>
      </c>
      <c r="G827" s="12" t="inlineStr">
        <is>
          <t>Free</t>
        </is>
      </c>
      <c r="H827" s="12" t="n">
        <v>1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3</v>
      </c>
      <c r="N827" s="12" t="n">
        <v>0</v>
      </c>
      <c r="O827" s="12" t="n"/>
      <c r="P827" s="12" t="n">
        <v>77.5</v>
      </c>
    </row>
    <row r="828">
      <c r="A828" s="12" t="inlineStr">
        <is>
          <t>USR-100827</t>
        </is>
      </c>
      <c r="B828" s="29" t="n">
        <v>45662</v>
      </c>
      <c r="C828" s="12" t="inlineStr">
        <is>
          <t>Treatment</t>
        </is>
      </c>
      <c r="D828" s="12" t="inlineStr">
        <is>
          <t>West</t>
        </is>
      </c>
      <c r="E828" s="12" t="inlineStr">
        <is>
          <t>Mobile</t>
        </is>
      </c>
      <c r="F828" s="12" t="inlineStr">
        <is>
          <t>Email</t>
        </is>
      </c>
      <c r="G828" s="12" t="inlineStr">
        <is>
          <t>Basic</t>
        </is>
      </c>
      <c r="H828" s="12" t="n">
        <v>1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/>
      <c r="P828" s="12" t="n">
        <v>61</v>
      </c>
    </row>
    <row r="829">
      <c r="A829" s="12" t="inlineStr">
        <is>
          <t>USR-100828</t>
        </is>
      </c>
      <c r="B829" s="29" t="n">
        <v>45712</v>
      </c>
      <c r="C829" s="12" t="inlineStr">
        <is>
          <t>Treatment</t>
        </is>
      </c>
      <c r="D829" s="12" t="inlineStr">
        <is>
          <t>South</t>
        </is>
      </c>
      <c r="E829" s="12" t="inlineStr">
        <is>
          <t>Desktop</t>
        </is>
      </c>
      <c r="F829" s="12" t="inlineStr">
        <is>
          <t>Organic</t>
        </is>
      </c>
      <c r="G829" s="12" t="inlineStr">
        <is>
          <t>Free</t>
        </is>
      </c>
      <c r="H829" s="12" t="n">
        <v>1</v>
      </c>
      <c r="I829" s="12" t="n">
        <v>1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/>
      <c r="P829" s="12" t="n">
        <v>64.90000000000001</v>
      </c>
    </row>
    <row r="830">
      <c r="A830" s="12" t="inlineStr">
        <is>
          <t>USR-100829</t>
        </is>
      </c>
      <c r="B830" s="29" t="n">
        <v>45678</v>
      </c>
      <c r="C830" s="12" t="inlineStr">
        <is>
          <t>Treatment</t>
        </is>
      </c>
      <c r="D830" s="12" t="inlineStr">
        <is>
          <t>East</t>
        </is>
      </c>
      <c r="E830" s="12" t="inlineStr">
        <is>
          <t>Mobile</t>
        </is>
      </c>
      <c r="F830" s="12" t="inlineStr">
        <is>
          <t>Paid Search</t>
        </is>
      </c>
      <c r="G830" s="12" t="inlineStr">
        <is>
          <t>Basic</t>
        </is>
      </c>
      <c r="H830" s="12" t="n">
        <v>1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/>
      <c r="P830" s="12" t="n">
        <v>87.5</v>
      </c>
    </row>
    <row r="831">
      <c r="A831" s="12" t="inlineStr">
        <is>
          <t>USR-100830</t>
        </is>
      </c>
      <c r="B831" s="29" t="n">
        <v>45771</v>
      </c>
      <c r="C831" s="12" t="inlineStr">
        <is>
          <t>Treatment</t>
        </is>
      </c>
      <c r="D831" s="12" t="inlineStr">
        <is>
          <t>North</t>
        </is>
      </c>
      <c r="E831" s="12" t="inlineStr">
        <is>
          <t>Mobile</t>
        </is>
      </c>
      <c r="F831" s="12" t="inlineStr">
        <is>
          <t>Organic</t>
        </is>
      </c>
      <c r="G831" s="12" t="inlineStr">
        <is>
          <t>Basic</t>
        </is>
      </c>
      <c r="H831" s="12" t="n">
        <v>1</v>
      </c>
      <c r="I831" s="12" t="n">
        <v>1</v>
      </c>
      <c r="J831" s="12" t="n">
        <v>1</v>
      </c>
      <c r="K831" s="12" t="n">
        <v>1</v>
      </c>
      <c r="L831" s="12" t="n">
        <v>1171.99</v>
      </c>
      <c r="M831" s="12" t="n">
        <v>0</v>
      </c>
      <c r="N831" s="12" t="n">
        <v>0</v>
      </c>
      <c r="O831" s="12" t="n">
        <v>5</v>
      </c>
      <c r="P831" s="12" t="n">
        <v>80.59999999999999</v>
      </c>
    </row>
    <row r="832">
      <c r="A832" s="12" t="inlineStr">
        <is>
          <t>USR-100831</t>
        </is>
      </c>
      <c r="B832" s="29" t="n">
        <v>45664</v>
      </c>
      <c r="C832" s="12" t="inlineStr">
        <is>
          <t>Treatment</t>
        </is>
      </c>
      <c r="D832" s="12" t="inlineStr">
        <is>
          <t>West</t>
        </is>
      </c>
      <c r="E832" s="12" t="inlineStr">
        <is>
          <t>Desktop</t>
        </is>
      </c>
      <c r="F832" s="12" t="inlineStr">
        <is>
          <t>Organic</t>
        </is>
      </c>
      <c r="G832" s="12" t="inlineStr">
        <is>
          <t>Free</t>
        </is>
      </c>
      <c r="H832" s="12" t="n">
        <v>1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/>
      <c r="P832" s="12" t="n">
        <v>66.90000000000001</v>
      </c>
    </row>
    <row r="833">
      <c r="A833" s="12" t="inlineStr">
        <is>
          <t>USR-100832</t>
        </is>
      </c>
      <c r="B833" s="29" t="n">
        <v>45808</v>
      </c>
      <c r="C833" s="12" t="inlineStr">
        <is>
          <t>Treatment</t>
        </is>
      </c>
      <c r="D833" s="12" t="inlineStr">
        <is>
          <t>South</t>
        </is>
      </c>
      <c r="E833" s="12" t="inlineStr">
        <is>
          <t>Tablet</t>
        </is>
      </c>
      <c r="F833" s="12" t="inlineStr">
        <is>
          <t>Organic</t>
        </is>
      </c>
      <c r="G833" s="12" t="inlineStr">
        <is>
          <t>Basic</t>
        </is>
      </c>
      <c r="H833" s="12" t="n">
        <v>1</v>
      </c>
      <c r="I833" s="12" t="n">
        <v>1</v>
      </c>
      <c r="J833" s="12" t="n">
        <v>1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/>
      <c r="P833" s="12" t="n">
        <v>58.8</v>
      </c>
    </row>
    <row r="834">
      <c r="A834" s="12" t="inlineStr">
        <is>
          <t>USR-100833</t>
        </is>
      </c>
      <c r="B834" s="29" t="n">
        <v>45749</v>
      </c>
      <c r="C834" s="12" t="inlineStr">
        <is>
          <t>Treatment</t>
        </is>
      </c>
      <c r="D834" s="12" t="inlineStr">
        <is>
          <t>North</t>
        </is>
      </c>
      <c r="E834" s="12" t="inlineStr">
        <is>
          <t>Desktop</t>
        </is>
      </c>
      <c r="F834" s="12" t="inlineStr">
        <is>
          <t>Organic</t>
        </is>
      </c>
      <c r="G834" s="12" t="inlineStr">
        <is>
          <t>Basic</t>
        </is>
      </c>
      <c r="H834" s="12" t="n">
        <v>1</v>
      </c>
      <c r="I834" s="12" t="n">
        <v>1</v>
      </c>
      <c r="J834" s="12" t="n">
        <v>1</v>
      </c>
      <c r="K834" s="12" t="n">
        <v>1</v>
      </c>
      <c r="L834" s="12" t="n">
        <v>1010.4</v>
      </c>
      <c r="M834" s="12" t="n">
        <v>0</v>
      </c>
      <c r="N834" s="12" t="n">
        <v>0</v>
      </c>
      <c r="O834" s="12" t="n">
        <v>4</v>
      </c>
      <c r="P834" s="12" t="n">
        <v>42.9</v>
      </c>
    </row>
    <row r="835">
      <c r="A835" s="12" t="inlineStr">
        <is>
          <t>USR-100834</t>
        </is>
      </c>
      <c r="B835" s="29" t="n">
        <v>45768</v>
      </c>
      <c r="C835" s="12" t="inlineStr">
        <is>
          <t>Treatment</t>
        </is>
      </c>
      <c r="D835" s="12" t="inlineStr">
        <is>
          <t>East</t>
        </is>
      </c>
      <c r="E835" s="12" t="inlineStr">
        <is>
          <t>Mobile</t>
        </is>
      </c>
      <c r="F835" s="12" t="inlineStr">
        <is>
          <t>Organic</t>
        </is>
      </c>
      <c r="G835" s="12" t="inlineStr">
        <is>
          <t>Free</t>
        </is>
      </c>
      <c r="H835" s="12" t="n">
        <v>1</v>
      </c>
      <c r="I835" s="12" t="n">
        <v>1</v>
      </c>
      <c r="J835" s="12" t="n">
        <v>1</v>
      </c>
      <c r="K835" s="12" t="n">
        <v>0</v>
      </c>
      <c r="L835" s="12" t="n">
        <v>0</v>
      </c>
      <c r="M835" s="12" t="n">
        <v>1</v>
      </c>
      <c r="N835" s="12" t="n">
        <v>0</v>
      </c>
      <c r="O835" s="12" t="n"/>
      <c r="P835" s="12" t="n">
        <v>60.2</v>
      </c>
    </row>
    <row r="836">
      <c r="A836" s="12" t="inlineStr">
        <is>
          <t>USR-100835</t>
        </is>
      </c>
      <c r="B836" s="29" t="n">
        <v>45782</v>
      </c>
      <c r="C836" s="12" t="inlineStr">
        <is>
          <t>Treatment</t>
        </is>
      </c>
      <c r="D836" s="12" t="inlineStr">
        <is>
          <t>East</t>
        </is>
      </c>
      <c r="E836" s="12" t="inlineStr">
        <is>
          <t>Mobile</t>
        </is>
      </c>
      <c r="F836" s="12" t="inlineStr">
        <is>
          <t>Paid Search</t>
        </is>
      </c>
      <c r="G836" s="12" t="inlineStr">
        <is>
          <t>Basic</t>
        </is>
      </c>
      <c r="H836" s="12" t="n">
        <v>1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/>
      <c r="P836" s="12" t="n">
        <v>42.7</v>
      </c>
    </row>
    <row r="837">
      <c r="A837" s="12" t="inlineStr">
        <is>
          <t>USR-100836</t>
        </is>
      </c>
      <c r="B837" s="29" t="n">
        <v>45663</v>
      </c>
      <c r="C837" s="12" t="inlineStr">
        <is>
          <t>Treatment</t>
        </is>
      </c>
      <c r="D837" s="12" t="inlineStr">
        <is>
          <t>North</t>
        </is>
      </c>
      <c r="E837" s="12" t="inlineStr">
        <is>
          <t>Desktop</t>
        </is>
      </c>
      <c r="F837" s="12" t="inlineStr">
        <is>
          <t>Social</t>
        </is>
      </c>
      <c r="G837" s="12" t="inlineStr">
        <is>
          <t>Free</t>
        </is>
      </c>
      <c r="H837" s="12" t="n">
        <v>1</v>
      </c>
      <c r="I837" s="12" t="n">
        <v>1</v>
      </c>
      <c r="J837" s="12" t="n">
        <v>1</v>
      </c>
      <c r="K837" s="12" t="n">
        <v>1</v>
      </c>
      <c r="L837" s="12" t="n">
        <v>431.27</v>
      </c>
      <c r="M837" s="12" t="n">
        <v>0</v>
      </c>
      <c r="N837" s="12" t="n">
        <v>0</v>
      </c>
      <c r="O837" s="12" t="n">
        <v>7</v>
      </c>
      <c r="P837" s="12" t="n">
        <v>60.8</v>
      </c>
    </row>
    <row r="838">
      <c r="A838" s="12" t="inlineStr">
        <is>
          <t>USR-100837</t>
        </is>
      </c>
      <c r="B838" s="29" t="n">
        <v>45771</v>
      </c>
      <c r="C838" s="12" t="inlineStr">
        <is>
          <t>Treatment</t>
        </is>
      </c>
      <c r="D838" s="12" t="inlineStr">
        <is>
          <t>South</t>
        </is>
      </c>
      <c r="E838" s="12" t="inlineStr">
        <is>
          <t>Mobile</t>
        </is>
      </c>
      <c r="F838" s="12" t="inlineStr">
        <is>
          <t>Referral</t>
        </is>
      </c>
      <c r="G838" s="12" t="inlineStr">
        <is>
          <t>Free</t>
        </is>
      </c>
      <c r="H838" s="12" t="n">
        <v>1</v>
      </c>
      <c r="I838" s="12" t="n">
        <v>1</v>
      </c>
      <c r="J838" s="12" t="n">
        <v>1</v>
      </c>
      <c r="K838" s="12" t="n">
        <v>1</v>
      </c>
      <c r="L838" s="12" t="n">
        <v>428.8</v>
      </c>
      <c r="M838" s="12" t="n">
        <v>0</v>
      </c>
      <c r="N838" s="12" t="n">
        <v>0</v>
      </c>
      <c r="O838" s="12" t="n">
        <v>9</v>
      </c>
      <c r="P838" s="12" t="n">
        <v>79.3</v>
      </c>
    </row>
    <row r="839">
      <c r="A839" s="12" t="inlineStr">
        <is>
          <t>USR-100838</t>
        </is>
      </c>
      <c r="B839" s="29" t="n">
        <v>45768</v>
      </c>
      <c r="C839" s="12" t="inlineStr">
        <is>
          <t>Treatment</t>
        </is>
      </c>
      <c r="D839" s="12" t="inlineStr">
        <is>
          <t>South</t>
        </is>
      </c>
      <c r="E839" s="12" t="inlineStr">
        <is>
          <t>Mobile</t>
        </is>
      </c>
      <c r="F839" s="12" t="inlineStr">
        <is>
          <t>Organic</t>
        </is>
      </c>
      <c r="G839" s="12" t="inlineStr">
        <is>
          <t>Basic</t>
        </is>
      </c>
      <c r="H839" s="12" t="n">
        <v>1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1</v>
      </c>
      <c r="N839" s="12" t="n">
        <v>0</v>
      </c>
      <c r="O839" s="12" t="n"/>
      <c r="P839" s="12" t="n">
        <v>88.59999999999999</v>
      </c>
    </row>
    <row r="840">
      <c r="A840" s="12" t="inlineStr">
        <is>
          <t>USR-100839</t>
        </is>
      </c>
      <c r="B840" s="29" t="n">
        <v>45697</v>
      </c>
      <c r="C840" s="12" t="inlineStr">
        <is>
          <t>Treatment</t>
        </is>
      </c>
      <c r="D840" s="12" t="inlineStr">
        <is>
          <t>West</t>
        </is>
      </c>
      <c r="E840" s="12" t="inlineStr">
        <is>
          <t>Mobile</t>
        </is>
      </c>
      <c r="F840" s="12" t="inlineStr">
        <is>
          <t>Organic</t>
        </is>
      </c>
      <c r="G840" s="12" t="inlineStr">
        <is>
          <t>Basic</t>
        </is>
      </c>
      <c r="H840" s="12" t="n">
        <v>1</v>
      </c>
      <c r="I840" s="12" t="n">
        <v>1</v>
      </c>
      <c r="J840" s="12" t="n">
        <v>1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/>
      <c r="P840" s="12" t="n">
        <v>63.1</v>
      </c>
    </row>
    <row r="841">
      <c r="A841" s="12" t="inlineStr">
        <is>
          <t>USR-100840</t>
        </is>
      </c>
      <c r="B841" s="29" t="n">
        <v>45666</v>
      </c>
      <c r="C841" s="12" t="inlineStr">
        <is>
          <t>Treatment</t>
        </is>
      </c>
      <c r="D841" s="12" t="inlineStr">
        <is>
          <t>East</t>
        </is>
      </c>
      <c r="E841" s="12" t="inlineStr">
        <is>
          <t>Mobile</t>
        </is>
      </c>
      <c r="F841" s="12" t="inlineStr">
        <is>
          <t>Organic</t>
        </is>
      </c>
      <c r="G841" s="12" t="inlineStr">
        <is>
          <t>Premium</t>
        </is>
      </c>
      <c r="H841" s="12" t="n">
        <v>1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/>
      <c r="P841" s="12" t="n">
        <v>39.7</v>
      </c>
    </row>
    <row r="842">
      <c r="A842" s="12" t="inlineStr">
        <is>
          <t>USR-100841</t>
        </is>
      </c>
      <c r="B842" s="29" t="n">
        <v>45704</v>
      </c>
      <c r="C842" s="12" t="inlineStr">
        <is>
          <t>Treatment</t>
        </is>
      </c>
      <c r="D842" s="12" t="inlineStr">
        <is>
          <t>North</t>
        </is>
      </c>
      <c r="E842" s="12" t="inlineStr">
        <is>
          <t>Mobile</t>
        </is>
      </c>
      <c r="F842" s="12" t="inlineStr">
        <is>
          <t>Paid Search</t>
        </is>
      </c>
      <c r="G842" s="12" t="inlineStr">
        <is>
          <t>Basic</t>
        </is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/>
      <c r="P842" s="12" t="n">
        <v>67.2</v>
      </c>
    </row>
    <row r="843">
      <c r="A843" s="12" t="inlineStr">
        <is>
          <t>USR-100842</t>
        </is>
      </c>
      <c r="B843" s="29" t="n">
        <v>45709</v>
      </c>
      <c r="C843" s="12" t="inlineStr">
        <is>
          <t>Treatment</t>
        </is>
      </c>
      <c r="D843" s="12" t="inlineStr">
        <is>
          <t>South</t>
        </is>
      </c>
      <c r="E843" s="12" t="inlineStr">
        <is>
          <t>Mobile</t>
        </is>
      </c>
      <c r="F843" s="12" t="inlineStr">
        <is>
          <t>Organic</t>
        </is>
      </c>
      <c r="G843" s="12" t="inlineStr">
        <is>
          <t>Free</t>
        </is>
      </c>
      <c r="H843" s="12" t="n">
        <v>1</v>
      </c>
      <c r="I843" s="12" t="n">
        <v>1</v>
      </c>
      <c r="J843" s="12" t="n">
        <v>1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/>
      <c r="P843" s="12" t="n">
        <v>62.3</v>
      </c>
    </row>
    <row r="844">
      <c r="A844" s="12" t="inlineStr">
        <is>
          <t>USR-100843</t>
        </is>
      </c>
      <c r="B844" s="29" t="n">
        <v>45696</v>
      </c>
      <c r="C844" s="12" t="inlineStr">
        <is>
          <t>Treatment</t>
        </is>
      </c>
      <c r="D844" s="12" t="inlineStr">
        <is>
          <t>South</t>
        </is>
      </c>
      <c r="E844" s="12" t="inlineStr">
        <is>
          <t>Mobile</t>
        </is>
      </c>
      <c r="F844" s="12" t="inlineStr">
        <is>
          <t>Organic</t>
        </is>
      </c>
      <c r="G844" s="12" t="inlineStr">
        <is>
          <t>Premium</t>
        </is>
      </c>
      <c r="H844" s="12" t="n">
        <v>1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/>
      <c r="P844" s="12" t="n"/>
    </row>
    <row r="845">
      <c r="A845" s="12" t="inlineStr">
        <is>
          <t>USR-100844</t>
        </is>
      </c>
      <c r="B845" s="29" t="n">
        <v>45679</v>
      </c>
      <c r="C845" s="12" t="inlineStr">
        <is>
          <t>Treatment</t>
        </is>
      </c>
      <c r="D845" s="12" t="inlineStr">
        <is>
          <t>South</t>
        </is>
      </c>
      <c r="E845" s="12" t="inlineStr">
        <is>
          <t>Mobile</t>
        </is>
      </c>
      <c r="F845" s="12" t="inlineStr">
        <is>
          <t>Paid Search</t>
        </is>
      </c>
      <c r="G845" s="12" t="inlineStr">
        <is>
          <t>Premium</t>
        </is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/>
      <c r="P845" s="12" t="n">
        <v>60.7</v>
      </c>
    </row>
    <row r="846">
      <c r="A846" s="12" t="inlineStr">
        <is>
          <t>USR-100845</t>
        </is>
      </c>
      <c r="B846" s="29" t="n">
        <v>45748</v>
      </c>
      <c r="C846" s="12" t="inlineStr">
        <is>
          <t>Treatment</t>
        </is>
      </c>
      <c r="D846" s="12" t="inlineStr">
        <is>
          <t>West</t>
        </is>
      </c>
      <c r="E846" s="12" t="inlineStr">
        <is>
          <t>Mobile</t>
        </is>
      </c>
      <c r="F846" s="12" t="inlineStr">
        <is>
          <t>Organic</t>
        </is>
      </c>
      <c r="G846" s="12" t="inlineStr">
        <is>
          <t>Basic</t>
        </is>
      </c>
      <c r="H846" s="12" t="n">
        <v>1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/>
      <c r="P846" s="12" t="n">
        <v>61.5</v>
      </c>
    </row>
    <row r="847">
      <c r="A847" s="12" t="inlineStr">
        <is>
          <t>USR-100846</t>
        </is>
      </c>
      <c r="B847" s="29" t="n">
        <v>45678</v>
      </c>
      <c r="C847" s="12" t="inlineStr">
        <is>
          <t>Treatment</t>
        </is>
      </c>
      <c r="D847" s="12" t="inlineStr">
        <is>
          <t>North</t>
        </is>
      </c>
      <c r="E847" s="12" t="inlineStr">
        <is>
          <t>Mobile</t>
        </is>
      </c>
      <c r="F847" s="12" t="inlineStr">
        <is>
          <t>Paid Search</t>
        </is>
      </c>
      <c r="G847" s="12" t="inlineStr">
        <is>
          <t>Basic</t>
        </is>
      </c>
      <c r="H847" s="12" t="n">
        <v>1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/>
      <c r="P847" s="12" t="n">
        <v>75</v>
      </c>
    </row>
    <row r="848">
      <c r="A848" s="12" t="inlineStr">
        <is>
          <t>USR-100847</t>
        </is>
      </c>
      <c r="B848" s="29" t="n">
        <v>45659</v>
      </c>
      <c r="C848" s="12" t="inlineStr">
        <is>
          <t>Treatment</t>
        </is>
      </c>
      <c r="D848" s="12" t="inlineStr">
        <is>
          <t>East</t>
        </is>
      </c>
      <c r="E848" s="12" t="inlineStr">
        <is>
          <t>Desktop</t>
        </is>
      </c>
      <c r="F848" s="12" t="inlineStr">
        <is>
          <t>Organic</t>
        </is>
      </c>
      <c r="G848" s="12" t="inlineStr">
        <is>
          <t>Free</t>
        </is>
      </c>
      <c r="H848" s="12" t="n">
        <v>1</v>
      </c>
      <c r="I848" s="12" t="n">
        <v>1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/>
      <c r="P848" s="12" t="n">
        <v>51.9</v>
      </c>
    </row>
    <row r="849">
      <c r="A849" s="12" t="inlineStr">
        <is>
          <t>USR-100848</t>
        </is>
      </c>
      <c r="B849" s="29" t="n">
        <v>45789</v>
      </c>
      <c r="C849" s="12" t="inlineStr">
        <is>
          <t>Treatment</t>
        </is>
      </c>
      <c r="D849" s="12" t="inlineStr">
        <is>
          <t>South</t>
        </is>
      </c>
      <c r="E849" s="12" t="inlineStr">
        <is>
          <t>Desktop</t>
        </is>
      </c>
      <c r="F849" s="12" t="inlineStr">
        <is>
          <t>Paid Search</t>
        </is>
      </c>
      <c r="G849" s="12" t="inlineStr">
        <is>
          <t>Free</t>
        </is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/>
      <c r="P849" s="12" t="n">
        <v>34.5</v>
      </c>
    </row>
    <row r="850">
      <c r="A850" s="12" t="inlineStr">
        <is>
          <t>USR-100849</t>
        </is>
      </c>
      <c r="B850" s="29" t="n">
        <v>45721</v>
      </c>
      <c r="C850" s="12" t="inlineStr">
        <is>
          <t>Treatment</t>
        </is>
      </c>
      <c r="D850" s="12" t="inlineStr">
        <is>
          <t>South</t>
        </is>
      </c>
      <c r="E850" s="12" t="inlineStr">
        <is>
          <t>Mobile</t>
        </is>
      </c>
      <c r="F850" s="12" t="inlineStr">
        <is>
          <t>Social</t>
        </is>
      </c>
      <c r="G850" s="12" t="inlineStr">
        <is>
          <t>Basic</t>
        </is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/>
      <c r="P850" s="12" t="n">
        <v>54.5</v>
      </c>
    </row>
    <row r="851">
      <c r="A851" s="12" t="inlineStr">
        <is>
          <t>USR-100850</t>
        </is>
      </c>
      <c r="B851" s="29" t="n">
        <v>45681</v>
      </c>
      <c r="C851" s="12" t="inlineStr">
        <is>
          <t>Treatment</t>
        </is>
      </c>
      <c r="D851" s="12" t="inlineStr">
        <is>
          <t>East</t>
        </is>
      </c>
      <c r="E851" s="12" t="inlineStr">
        <is>
          <t>Mobile</t>
        </is>
      </c>
      <c r="F851" s="12" t="inlineStr">
        <is>
          <t>Organic</t>
        </is>
      </c>
      <c r="G851" s="12" t="inlineStr">
        <is>
          <t>Free</t>
        </is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/>
      <c r="P851" s="12" t="n">
        <v>46</v>
      </c>
    </row>
    <row r="852">
      <c r="A852" s="12" t="inlineStr">
        <is>
          <t>USR-100851</t>
        </is>
      </c>
      <c r="B852" s="29" t="n">
        <v>45688</v>
      </c>
      <c r="C852" s="12" t="inlineStr">
        <is>
          <t>Treatment</t>
        </is>
      </c>
      <c r="D852" s="12" t="inlineStr">
        <is>
          <t>East</t>
        </is>
      </c>
      <c r="E852" s="12" t="inlineStr">
        <is>
          <t>Desktop</t>
        </is>
      </c>
      <c r="F852" s="12" t="inlineStr">
        <is>
          <t>Email</t>
        </is>
      </c>
      <c r="G852" s="12" t="inlineStr">
        <is>
          <t>Free</t>
        </is>
      </c>
      <c r="H852" s="12" t="n">
        <v>1</v>
      </c>
      <c r="I852" s="12" t="n">
        <v>1</v>
      </c>
      <c r="J852" s="12" t="n">
        <v>1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/>
      <c r="P852" s="12" t="n">
        <v>88.40000000000001</v>
      </c>
    </row>
    <row r="853">
      <c r="A853" s="12" t="inlineStr">
        <is>
          <t>USR-100852</t>
        </is>
      </c>
      <c r="B853" s="29" t="n">
        <v>45681</v>
      </c>
      <c r="C853" s="12" t="inlineStr">
        <is>
          <t>Treatment</t>
        </is>
      </c>
      <c r="D853" s="12" t="inlineStr">
        <is>
          <t>North</t>
        </is>
      </c>
      <c r="E853" s="12" t="inlineStr">
        <is>
          <t>Tablet</t>
        </is>
      </c>
      <c r="F853" s="12" t="inlineStr">
        <is>
          <t>Organic</t>
        </is>
      </c>
      <c r="G853" s="12" t="inlineStr">
        <is>
          <t>Basic</t>
        </is>
      </c>
      <c r="H853" s="12" t="n">
        <v>1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/>
      <c r="P853" s="12" t="n">
        <v>69.5</v>
      </c>
    </row>
    <row r="854">
      <c r="A854" s="12" t="inlineStr">
        <is>
          <t>USR-100853</t>
        </is>
      </c>
      <c r="B854" s="29" t="n">
        <v>45702</v>
      </c>
      <c r="C854" s="12" t="inlineStr">
        <is>
          <t>Treatment</t>
        </is>
      </c>
      <c r="D854" s="12" t="inlineStr">
        <is>
          <t>North</t>
        </is>
      </c>
      <c r="E854" s="12" t="inlineStr">
        <is>
          <t>Desktop</t>
        </is>
      </c>
      <c r="F854" s="12" t="inlineStr">
        <is>
          <t>Referral</t>
        </is>
      </c>
      <c r="G854" s="12" t="inlineStr">
        <is>
          <t>Basic</t>
        </is>
      </c>
      <c r="H854" s="12" t="n">
        <v>1</v>
      </c>
      <c r="I854" s="12" t="n">
        <v>1</v>
      </c>
      <c r="J854" s="12" t="n">
        <v>1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/>
      <c r="P854" s="12" t="n">
        <v>74.2</v>
      </c>
    </row>
    <row r="855">
      <c r="A855" s="12" t="inlineStr">
        <is>
          <t>USR-100854</t>
        </is>
      </c>
      <c r="B855" s="29" t="n">
        <v>45804</v>
      </c>
      <c r="C855" s="12" t="inlineStr">
        <is>
          <t>Treatment</t>
        </is>
      </c>
      <c r="D855" s="12" t="inlineStr">
        <is>
          <t>North</t>
        </is>
      </c>
      <c r="E855" s="12" t="inlineStr">
        <is>
          <t>Mobile</t>
        </is>
      </c>
      <c r="F855" s="12" t="inlineStr">
        <is>
          <t>Organic</t>
        </is>
      </c>
      <c r="G855" s="12" t="inlineStr">
        <is>
          <t>Free</t>
        </is>
      </c>
      <c r="H855" s="12" t="n">
        <v>1</v>
      </c>
      <c r="I855" s="12" t="n">
        <v>1</v>
      </c>
      <c r="J855" s="12" t="n">
        <v>1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/>
      <c r="P855" s="12" t="n">
        <v>72.09999999999999</v>
      </c>
    </row>
    <row r="856">
      <c r="A856" s="12" t="inlineStr">
        <is>
          <t>USR-100855</t>
        </is>
      </c>
      <c r="B856" s="29" t="n">
        <v>45716</v>
      </c>
      <c r="C856" s="12" t="inlineStr">
        <is>
          <t>Treatment</t>
        </is>
      </c>
      <c r="D856" s="12" t="inlineStr">
        <is>
          <t>North</t>
        </is>
      </c>
      <c r="E856" s="12" t="inlineStr">
        <is>
          <t>Mobile</t>
        </is>
      </c>
      <c r="F856" s="12" t="inlineStr">
        <is>
          <t>Paid Search</t>
        </is>
      </c>
      <c r="G856" s="12" t="inlineStr">
        <is>
          <t>Free</t>
        </is>
      </c>
      <c r="H856" s="12" t="n">
        <v>1</v>
      </c>
      <c r="I856" s="12" t="n">
        <v>1</v>
      </c>
      <c r="J856" s="12" t="n">
        <v>1</v>
      </c>
      <c r="K856" s="12" t="n">
        <v>1</v>
      </c>
      <c r="L856" s="12" t="n">
        <v>398.33</v>
      </c>
      <c r="M856" s="12" t="n">
        <v>0</v>
      </c>
      <c r="N856" s="12" t="n">
        <v>0</v>
      </c>
      <c r="O856" s="12" t="n">
        <v>5</v>
      </c>
      <c r="P856" s="12" t="n">
        <v>85.09999999999999</v>
      </c>
    </row>
    <row r="857">
      <c r="A857" s="12" t="inlineStr">
        <is>
          <t>USR-100856</t>
        </is>
      </c>
      <c r="B857" s="29" t="n">
        <v>45804</v>
      </c>
      <c r="C857" s="12" t="inlineStr">
        <is>
          <t>Treatment</t>
        </is>
      </c>
      <c r="D857" s="12" t="inlineStr">
        <is>
          <t>North</t>
        </is>
      </c>
      <c r="E857" s="12" t="inlineStr">
        <is>
          <t>Mobile</t>
        </is>
      </c>
      <c r="F857" s="12" t="inlineStr">
        <is>
          <t>Organic</t>
        </is>
      </c>
      <c r="G857" s="12" t="inlineStr">
        <is>
          <t>Basic</t>
        </is>
      </c>
      <c r="H857" s="12" t="n">
        <v>1</v>
      </c>
      <c r="I857" s="12" t="n">
        <v>1</v>
      </c>
      <c r="J857" s="12" t="n">
        <v>1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/>
      <c r="P857" s="12" t="n">
        <v>49.5</v>
      </c>
    </row>
    <row r="858">
      <c r="A858" s="12" t="inlineStr">
        <is>
          <t>USR-100857</t>
        </is>
      </c>
      <c r="B858" s="29" t="n">
        <v>45794</v>
      </c>
      <c r="C858" s="12" t="inlineStr">
        <is>
          <t>Treatment</t>
        </is>
      </c>
      <c r="D858" s="12" t="inlineStr">
        <is>
          <t>South</t>
        </is>
      </c>
      <c r="E858" s="12" t="inlineStr">
        <is>
          <t>Mobile</t>
        </is>
      </c>
      <c r="F858" s="12" t="inlineStr">
        <is>
          <t>Paid Search</t>
        </is>
      </c>
      <c r="G858" s="12" t="inlineStr">
        <is>
          <t>Premium</t>
        </is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1</v>
      </c>
      <c r="N858" s="12" t="n">
        <v>0</v>
      </c>
      <c r="O858" s="12" t="n"/>
      <c r="P858" s="12" t="n">
        <v>79</v>
      </c>
    </row>
    <row r="859">
      <c r="A859" s="12" t="inlineStr">
        <is>
          <t>USR-100858</t>
        </is>
      </c>
      <c r="B859" s="29" t="n">
        <v>45667</v>
      </c>
      <c r="C859" s="12" t="inlineStr">
        <is>
          <t>Treatment</t>
        </is>
      </c>
      <c r="D859" s="12" t="inlineStr">
        <is>
          <t>West</t>
        </is>
      </c>
      <c r="E859" s="12" t="inlineStr">
        <is>
          <t>Desktop</t>
        </is>
      </c>
      <c r="F859" s="12" t="inlineStr">
        <is>
          <t>Social</t>
        </is>
      </c>
      <c r="G859" s="12" t="inlineStr">
        <is>
          <t>Free</t>
        </is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/>
      <c r="P859" s="12" t="n">
        <v>71.8</v>
      </c>
    </row>
    <row r="860">
      <c r="A860" s="12" t="inlineStr">
        <is>
          <t>USR-100859</t>
        </is>
      </c>
      <c r="B860" s="29" t="n">
        <v>45769</v>
      </c>
      <c r="C860" s="12" t="inlineStr">
        <is>
          <t>Treatment</t>
        </is>
      </c>
      <c r="D860" s="12" t="inlineStr">
        <is>
          <t>North</t>
        </is>
      </c>
      <c r="E860" s="12" t="inlineStr">
        <is>
          <t>Mobile</t>
        </is>
      </c>
      <c r="F860" s="12" t="inlineStr">
        <is>
          <t>Email</t>
        </is>
      </c>
      <c r="G860" s="12" t="inlineStr">
        <is>
          <t>Basic</t>
        </is>
      </c>
      <c r="H860" s="12" t="n">
        <v>1</v>
      </c>
      <c r="I860" s="12" t="n">
        <v>1</v>
      </c>
      <c r="J860" s="12" t="n">
        <v>1</v>
      </c>
      <c r="K860" s="12" t="n">
        <v>1</v>
      </c>
      <c r="L860" s="12" t="n">
        <v>1117.54</v>
      </c>
      <c r="M860" s="12" t="n">
        <v>0</v>
      </c>
      <c r="N860" s="12" t="n">
        <v>0</v>
      </c>
      <c r="O860" s="12" t="n">
        <v>6</v>
      </c>
      <c r="P860" s="12" t="n">
        <v>60.4</v>
      </c>
    </row>
    <row r="861">
      <c r="A861" s="12" t="inlineStr">
        <is>
          <t>USR-100860</t>
        </is>
      </c>
      <c r="B861" s="29" t="n">
        <v>45718</v>
      </c>
      <c r="C861" s="12" t="inlineStr">
        <is>
          <t>Treatment</t>
        </is>
      </c>
      <c r="D861" s="12" t="inlineStr">
        <is>
          <t>South</t>
        </is>
      </c>
      <c r="E861" s="12" t="inlineStr">
        <is>
          <t>Desktop</t>
        </is>
      </c>
      <c r="F861" s="12" t="inlineStr">
        <is>
          <t>Organic</t>
        </is>
      </c>
      <c r="G861" s="12" t="inlineStr">
        <is>
          <t>Basic</t>
        </is>
      </c>
      <c r="H861" s="12" t="n">
        <v>1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2</v>
      </c>
      <c r="N861" s="12" t="n">
        <v>0</v>
      </c>
      <c r="O861" s="12" t="n"/>
      <c r="P861" s="12" t="n">
        <v>38.3</v>
      </c>
    </row>
    <row r="862">
      <c r="A862" s="12" t="inlineStr">
        <is>
          <t>USR-100861</t>
        </is>
      </c>
      <c r="B862" s="29" t="n">
        <v>45739</v>
      </c>
      <c r="C862" s="12" t="inlineStr">
        <is>
          <t>Treatment</t>
        </is>
      </c>
      <c r="D862" s="12" t="inlineStr">
        <is>
          <t>East</t>
        </is>
      </c>
      <c r="E862" s="12" t="inlineStr">
        <is>
          <t>Mobile</t>
        </is>
      </c>
      <c r="F862" s="12" t="inlineStr">
        <is>
          <t>Paid Search</t>
        </is>
      </c>
      <c r="G862" s="12" t="inlineStr">
        <is>
          <t>Free</t>
        </is>
      </c>
      <c r="H862" s="12" t="n">
        <v>1</v>
      </c>
      <c r="I862" s="12" t="n">
        <v>1</v>
      </c>
      <c r="J862" s="12" t="n">
        <v>1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/>
      <c r="P862" s="12" t="n">
        <v>79.59999999999999</v>
      </c>
    </row>
    <row r="863">
      <c r="A863" s="12" t="inlineStr">
        <is>
          <t>USR-100862</t>
        </is>
      </c>
      <c r="B863" s="29" t="n">
        <v>45700</v>
      </c>
      <c r="C863" s="12" t="inlineStr">
        <is>
          <t>Treatment</t>
        </is>
      </c>
      <c r="D863" s="12" t="inlineStr">
        <is>
          <t>East</t>
        </is>
      </c>
      <c r="E863" s="12" t="inlineStr">
        <is>
          <t>Mobile</t>
        </is>
      </c>
      <c r="F863" s="12" t="inlineStr">
        <is>
          <t>Email</t>
        </is>
      </c>
      <c r="G863" s="12" t="inlineStr">
        <is>
          <t>Free</t>
        </is>
      </c>
      <c r="H863" s="12" t="n">
        <v>1</v>
      </c>
      <c r="I863" s="12" t="n">
        <v>1</v>
      </c>
      <c r="J863" s="12" t="n">
        <v>1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/>
      <c r="P863" s="12" t="n">
        <v>71.90000000000001</v>
      </c>
    </row>
    <row r="864">
      <c r="A864" s="12" t="inlineStr">
        <is>
          <t>USR-100863</t>
        </is>
      </c>
      <c r="B864" s="29" t="n">
        <v>45780</v>
      </c>
      <c r="C864" s="12" t="inlineStr">
        <is>
          <t>Treatment</t>
        </is>
      </c>
      <c r="D864" s="12" t="inlineStr">
        <is>
          <t>South</t>
        </is>
      </c>
      <c r="E864" s="12" t="inlineStr">
        <is>
          <t>Mobile</t>
        </is>
      </c>
      <c r="F864" s="12" t="inlineStr">
        <is>
          <t>Referral</t>
        </is>
      </c>
      <c r="G864" s="12" t="inlineStr">
        <is>
          <t>Basic</t>
        </is>
      </c>
      <c r="H864" s="12" t="n">
        <v>1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/>
      <c r="P864" s="12" t="n">
        <v>54.6</v>
      </c>
    </row>
    <row r="865">
      <c r="A865" s="12" t="inlineStr">
        <is>
          <t>USR-100864</t>
        </is>
      </c>
      <c r="B865" s="29" t="n">
        <v>45744</v>
      </c>
      <c r="C865" s="12" t="inlineStr">
        <is>
          <t>Treatment</t>
        </is>
      </c>
      <c r="D865" s="12" t="inlineStr">
        <is>
          <t>North</t>
        </is>
      </c>
      <c r="E865" s="12" t="inlineStr">
        <is>
          <t>Desktop</t>
        </is>
      </c>
      <c r="F865" s="12" t="inlineStr">
        <is>
          <t>Social</t>
        </is>
      </c>
      <c r="G865" s="12" t="inlineStr">
        <is>
          <t>Free</t>
        </is>
      </c>
      <c r="H865" s="12" t="n">
        <v>1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3</v>
      </c>
      <c r="N865" s="12" t="n">
        <v>0</v>
      </c>
      <c r="O865" s="12" t="n"/>
      <c r="P865" s="12" t="n">
        <v>49.3</v>
      </c>
    </row>
    <row r="866">
      <c r="A866" s="12" t="inlineStr">
        <is>
          <t>USR-100865</t>
        </is>
      </c>
      <c r="B866" s="29" t="n">
        <v>45728</v>
      </c>
      <c r="C866" s="12" t="inlineStr">
        <is>
          <t>Treatment</t>
        </is>
      </c>
      <c r="D866" s="12" t="inlineStr">
        <is>
          <t>North</t>
        </is>
      </c>
      <c r="E866" s="12" t="inlineStr">
        <is>
          <t>Mobile</t>
        </is>
      </c>
      <c r="F866" s="12" t="inlineStr">
        <is>
          <t>Social</t>
        </is>
      </c>
      <c r="G866" s="12" t="inlineStr">
        <is>
          <t>Basic</t>
        </is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1</v>
      </c>
      <c r="N866" s="12" t="n">
        <v>0</v>
      </c>
      <c r="O866" s="12" t="n"/>
      <c r="P866" s="12" t="n">
        <v>66.90000000000001</v>
      </c>
    </row>
    <row r="867">
      <c r="A867" s="12" t="inlineStr">
        <is>
          <t>USR-100866</t>
        </is>
      </c>
      <c r="B867" s="29" t="n">
        <v>45774</v>
      </c>
      <c r="C867" s="12" t="inlineStr">
        <is>
          <t>Treatment</t>
        </is>
      </c>
      <c r="D867" s="12" t="inlineStr">
        <is>
          <t>East</t>
        </is>
      </c>
      <c r="E867" s="12" t="inlineStr">
        <is>
          <t>Mobile</t>
        </is>
      </c>
      <c r="F867" s="12" t="inlineStr">
        <is>
          <t>Paid Search</t>
        </is>
      </c>
      <c r="G867" s="12" t="inlineStr">
        <is>
          <t>Free</t>
        </is>
      </c>
      <c r="H867" s="12" t="n">
        <v>1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1</v>
      </c>
      <c r="N867" s="12" t="n">
        <v>0</v>
      </c>
      <c r="O867" s="12" t="n"/>
      <c r="P867" s="12" t="n">
        <v>77.8</v>
      </c>
    </row>
    <row r="868">
      <c r="A868" s="12" t="inlineStr">
        <is>
          <t>USR-100867</t>
        </is>
      </c>
      <c r="B868" s="29" t="n">
        <v>45749</v>
      </c>
      <c r="C868" s="12" t="inlineStr">
        <is>
          <t>Treatment</t>
        </is>
      </c>
      <c r="D868" s="12" t="inlineStr">
        <is>
          <t>South</t>
        </is>
      </c>
      <c r="E868" s="12" t="inlineStr">
        <is>
          <t>Mobile</t>
        </is>
      </c>
      <c r="F868" s="12" t="inlineStr">
        <is>
          <t>Referral</t>
        </is>
      </c>
      <c r="G868" s="12" t="inlineStr">
        <is>
          <t>Basic</t>
        </is>
      </c>
      <c r="H868" s="12" t="n">
        <v>1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/>
      <c r="P868" s="12" t="n">
        <v>63</v>
      </c>
    </row>
    <row r="869">
      <c r="A869" s="12" t="inlineStr">
        <is>
          <t>USR-100868</t>
        </is>
      </c>
      <c r="B869" s="29" t="n">
        <v>45768</v>
      </c>
      <c r="C869" s="12" t="inlineStr">
        <is>
          <t>Treatment</t>
        </is>
      </c>
      <c r="D869" s="12" t="inlineStr">
        <is>
          <t>North</t>
        </is>
      </c>
      <c r="E869" s="12" t="inlineStr">
        <is>
          <t>Mobile</t>
        </is>
      </c>
      <c r="F869" s="12" t="inlineStr">
        <is>
          <t>Social</t>
        </is>
      </c>
      <c r="G869" s="12" t="inlineStr">
        <is>
          <t>Free</t>
        </is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/>
      <c r="P869" s="12" t="n">
        <v>79.8</v>
      </c>
    </row>
    <row r="870">
      <c r="A870" s="12" t="inlineStr">
        <is>
          <t>USR-100869</t>
        </is>
      </c>
      <c r="B870" s="29" t="n">
        <v>45683</v>
      </c>
      <c r="C870" s="12" t="inlineStr">
        <is>
          <t>Treatment</t>
        </is>
      </c>
      <c r="D870" s="12" t="inlineStr">
        <is>
          <t>West</t>
        </is>
      </c>
      <c r="E870" s="12" t="inlineStr">
        <is>
          <t>Desktop</t>
        </is>
      </c>
      <c r="F870" s="12" t="inlineStr">
        <is>
          <t>Organic</t>
        </is>
      </c>
      <c r="G870" s="12" t="inlineStr">
        <is>
          <t>Basic</t>
        </is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/>
      <c r="P870" s="12" t="n">
        <v>69.90000000000001</v>
      </c>
    </row>
    <row r="871">
      <c r="A871" s="12" t="inlineStr">
        <is>
          <t>USR-100870</t>
        </is>
      </c>
      <c r="B871" s="29" t="n">
        <v>45663</v>
      </c>
      <c r="C871" s="12" t="inlineStr">
        <is>
          <t>Treatment</t>
        </is>
      </c>
      <c r="D871" s="12" t="inlineStr">
        <is>
          <t>West</t>
        </is>
      </c>
      <c r="E871" s="12" t="inlineStr">
        <is>
          <t>Mobile</t>
        </is>
      </c>
      <c r="F871" s="12" t="inlineStr">
        <is>
          <t>Organic</t>
        </is>
      </c>
      <c r="G871" s="12" t="inlineStr">
        <is>
          <t>Free</t>
        </is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1</v>
      </c>
      <c r="N871" s="12" t="n">
        <v>0</v>
      </c>
      <c r="O871" s="12" t="n"/>
      <c r="P871" s="12" t="n">
        <v>66.40000000000001</v>
      </c>
    </row>
    <row r="872">
      <c r="A872" s="12" t="inlineStr">
        <is>
          <t>USR-100871</t>
        </is>
      </c>
      <c r="B872" s="29" t="n">
        <v>45695</v>
      </c>
      <c r="C872" s="12" t="inlineStr">
        <is>
          <t>Treatment</t>
        </is>
      </c>
      <c r="D872" s="12" t="inlineStr">
        <is>
          <t>East</t>
        </is>
      </c>
      <c r="E872" s="12" t="inlineStr">
        <is>
          <t>Mobile</t>
        </is>
      </c>
      <c r="F872" s="12" t="inlineStr">
        <is>
          <t>Organic</t>
        </is>
      </c>
      <c r="G872" s="12" t="inlineStr">
        <is>
          <t>Free</t>
        </is>
      </c>
      <c r="H872" s="12" t="n">
        <v>1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/>
      <c r="P872" s="12" t="n">
        <v>27.6</v>
      </c>
    </row>
    <row r="873">
      <c r="A873" s="12" t="inlineStr">
        <is>
          <t>USR-100872</t>
        </is>
      </c>
      <c r="B873" s="29" t="n">
        <v>45784</v>
      </c>
      <c r="C873" s="12" t="inlineStr">
        <is>
          <t>Treatment</t>
        </is>
      </c>
      <c r="D873" s="12" t="inlineStr">
        <is>
          <t>West</t>
        </is>
      </c>
      <c r="E873" s="12" t="inlineStr">
        <is>
          <t>Mobile</t>
        </is>
      </c>
      <c r="F873" s="12" t="inlineStr">
        <is>
          <t>Organic</t>
        </is>
      </c>
      <c r="G873" s="12" t="inlineStr">
        <is>
          <t>Premium</t>
        </is>
      </c>
      <c r="H873" s="12" t="n">
        <v>1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1</v>
      </c>
      <c r="N873" s="12" t="n">
        <v>0</v>
      </c>
      <c r="O873" s="12" t="n"/>
      <c r="P873" s="12" t="n">
        <v>56.5</v>
      </c>
    </row>
    <row r="874">
      <c r="A874" s="12" t="inlineStr">
        <is>
          <t>USR-100873</t>
        </is>
      </c>
      <c r="B874" s="29" t="n">
        <v>45769</v>
      </c>
      <c r="C874" s="12" t="inlineStr">
        <is>
          <t>Treatment</t>
        </is>
      </c>
      <c r="D874" s="12" t="inlineStr">
        <is>
          <t>West</t>
        </is>
      </c>
      <c r="E874" s="12" t="n"/>
      <c r="F874" s="12" t="inlineStr">
        <is>
          <t>Social</t>
        </is>
      </c>
      <c r="G874" s="12" t="inlineStr">
        <is>
          <t>Free</t>
        </is>
      </c>
      <c r="H874" s="12" t="n">
        <v>1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/>
      <c r="P874" s="12" t="n">
        <v>67.8</v>
      </c>
    </row>
    <row r="875">
      <c r="A875" s="12" t="inlineStr">
        <is>
          <t>USR-100874</t>
        </is>
      </c>
      <c r="B875" s="29" t="n">
        <v>45781</v>
      </c>
      <c r="C875" s="12" t="inlineStr">
        <is>
          <t>Treatment</t>
        </is>
      </c>
      <c r="D875" s="12" t="inlineStr">
        <is>
          <t>West</t>
        </is>
      </c>
      <c r="E875" s="12" t="inlineStr">
        <is>
          <t>Desktop</t>
        </is>
      </c>
      <c r="F875" s="12" t="inlineStr">
        <is>
          <t>Social</t>
        </is>
      </c>
      <c r="G875" s="12" t="inlineStr">
        <is>
          <t>Free</t>
        </is>
      </c>
      <c r="H875" s="12" t="n">
        <v>1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/>
      <c r="P875" s="12" t="n">
        <v>80</v>
      </c>
    </row>
    <row r="876">
      <c r="A876" s="12" t="inlineStr">
        <is>
          <t>USR-100875</t>
        </is>
      </c>
      <c r="B876" s="29" t="n">
        <v>45793</v>
      </c>
      <c r="C876" s="12" t="inlineStr">
        <is>
          <t>Treatment</t>
        </is>
      </c>
      <c r="D876" s="12" t="inlineStr">
        <is>
          <t>South</t>
        </is>
      </c>
      <c r="E876" s="12" t="inlineStr">
        <is>
          <t>Mobile</t>
        </is>
      </c>
      <c r="F876" s="12" t="inlineStr">
        <is>
          <t>Social</t>
        </is>
      </c>
      <c r="G876" s="12" t="inlineStr">
        <is>
          <t>Basic</t>
        </is>
      </c>
      <c r="H876" s="12" t="n">
        <v>1</v>
      </c>
      <c r="I876" s="12" t="n">
        <v>1</v>
      </c>
      <c r="J876" s="12" t="n">
        <v>1</v>
      </c>
      <c r="K876" s="12" t="n">
        <v>0</v>
      </c>
      <c r="L876" s="12" t="n">
        <v>0</v>
      </c>
      <c r="M876" s="12" t="n">
        <v>1</v>
      </c>
      <c r="N876" s="12" t="n">
        <v>0</v>
      </c>
      <c r="O876" s="12" t="n"/>
      <c r="P876" s="12" t="n">
        <v>80.90000000000001</v>
      </c>
    </row>
    <row r="877">
      <c r="A877" s="12" t="inlineStr">
        <is>
          <t>USR-100876</t>
        </is>
      </c>
      <c r="B877" s="29" t="n">
        <v>45699</v>
      </c>
      <c r="C877" s="12" t="inlineStr">
        <is>
          <t>Treatment</t>
        </is>
      </c>
      <c r="D877" s="12" t="inlineStr">
        <is>
          <t>West</t>
        </is>
      </c>
      <c r="E877" s="12" t="inlineStr">
        <is>
          <t>Mobile</t>
        </is>
      </c>
      <c r="F877" s="12" t="inlineStr">
        <is>
          <t>Paid Search</t>
        </is>
      </c>
      <c r="G877" s="12" t="inlineStr">
        <is>
          <t>Free</t>
        </is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/>
      <c r="P877" s="12" t="n">
        <v>34.5</v>
      </c>
    </row>
    <row r="878">
      <c r="A878" s="12" t="inlineStr">
        <is>
          <t>USR-100877</t>
        </is>
      </c>
      <c r="B878" s="29" t="n">
        <v>45786</v>
      </c>
      <c r="C878" s="12" t="inlineStr">
        <is>
          <t>Treatment</t>
        </is>
      </c>
      <c r="D878" s="12" t="inlineStr">
        <is>
          <t>East</t>
        </is>
      </c>
      <c r="E878" s="12" t="inlineStr">
        <is>
          <t>Desktop</t>
        </is>
      </c>
      <c r="F878" s="12" t="inlineStr">
        <is>
          <t>Organic</t>
        </is>
      </c>
      <c r="G878" s="12" t="inlineStr">
        <is>
          <t>Premium</t>
        </is>
      </c>
      <c r="H878" s="12" t="n">
        <v>1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/>
      <c r="P878" s="12" t="n">
        <v>73.5</v>
      </c>
    </row>
    <row r="879">
      <c r="A879" s="12" t="inlineStr">
        <is>
          <t>USR-100878</t>
        </is>
      </c>
      <c r="B879" s="29" t="n">
        <v>45697</v>
      </c>
      <c r="C879" s="12" t="inlineStr">
        <is>
          <t>Treatment</t>
        </is>
      </c>
      <c r="D879" s="12" t="inlineStr">
        <is>
          <t>South</t>
        </is>
      </c>
      <c r="E879" s="12" t="inlineStr">
        <is>
          <t>Desktop</t>
        </is>
      </c>
      <c r="F879" s="12" t="inlineStr">
        <is>
          <t>Paid Search</t>
        </is>
      </c>
      <c r="G879" s="12" t="inlineStr">
        <is>
          <t>Free</t>
        </is>
      </c>
      <c r="H879" s="12" t="n">
        <v>1</v>
      </c>
      <c r="I879" s="12" t="n">
        <v>1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/>
      <c r="P879" s="12" t="n">
        <v>70</v>
      </c>
    </row>
    <row r="880">
      <c r="A880" s="12" t="inlineStr">
        <is>
          <t>USR-100879</t>
        </is>
      </c>
      <c r="B880" s="29" t="n">
        <v>45799</v>
      </c>
      <c r="C880" s="12" t="inlineStr">
        <is>
          <t>Treatment</t>
        </is>
      </c>
      <c r="D880" s="12" t="inlineStr">
        <is>
          <t>West</t>
        </is>
      </c>
      <c r="E880" s="12" t="inlineStr">
        <is>
          <t>Mobile</t>
        </is>
      </c>
      <c r="F880" s="12" t="inlineStr">
        <is>
          <t>Social</t>
        </is>
      </c>
      <c r="G880" s="12" t="inlineStr">
        <is>
          <t>Basic</t>
        </is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/>
      <c r="P880" s="12" t="n">
        <v>86.90000000000001</v>
      </c>
    </row>
    <row r="881">
      <c r="A881" s="12" t="inlineStr">
        <is>
          <t>USR-100880</t>
        </is>
      </c>
      <c r="B881" s="29" t="n">
        <v>45801</v>
      </c>
      <c r="C881" s="12" t="inlineStr">
        <is>
          <t>Treatment</t>
        </is>
      </c>
      <c r="D881" s="12" t="inlineStr">
        <is>
          <t>East</t>
        </is>
      </c>
      <c r="E881" s="12" t="inlineStr">
        <is>
          <t>Mobile</t>
        </is>
      </c>
      <c r="F881" s="12" t="inlineStr">
        <is>
          <t>Social</t>
        </is>
      </c>
      <c r="G881" s="12" t="inlineStr">
        <is>
          <t>Basic</t>
        </is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/>
      <c r="P881" s="12" t="n">
        <v>66.90000000000001</v>
      </c>
    </row>
    <row r="882">
      <c r="A882" s="12" t="inlineStr">
        <is>
          <t>USR-100881</t>
        </is>
      </c>
      <c r="B882" s="29" t="n">
        <v>45774</v>
      </c>
      <c r="C882" s="12" t="inlineStr">
        <is>
          <t>Treatment</t>
        </is>
      </c>
      <c r="D882" s="12" t="inlineStr">
        <is>
          <t>South</t>
        </is>
      </c>
      <c r="E882" s="12" t="inlineStr">
        <is>
          <t>Desktop</t>
        </is>
      </c>
      <c r="F882" s="12" t="inlineStr">
        <is>
          <t>Social</t>
        </is>
      </c>
      <c r="G882" s="12" t="inlineStr">
        <is>
          <t>Basic</t>
        </is>
      </c>
      <c r="H882" s="12" t="n">
        <v>1</v>
      </c>
      <c r="I882" s="12" t="n">
        <v>1</v>
      </c>
      <c r="J882" s="12" t="n">
        <v>1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/>
      <c r="P882" s="12" t="n">
        <v>58.3</v>
      </c>
    </row>
    <row r="883">
      <c r="A883" s="12" t="inlineStr">
        <is>
          <t>USR-100882</t>
        </is>
      </c>
      <c r="B883" s="29" t="n">
        <v>45735</v>
      </c>
      <c r="C883" s="12" t="inlineStr">
        <is>
          <t>Treatment</t>
        </is>
      </c>
      <c r="D883" s="12" t="inlineStr">
        <is>
          <t>East</t>
        </is>
      </c>
      <c r="E883" s="12" t="inlineStr">
        <is>
          <t>Mobile</t>
        </is>
      </c>
      <c r="F883" s="12" t="inlineStr">
        <is>
          <t>Paid Search</t>
        </is>
      </c>
      <c r="G883" s="12" t="inlineStr">
        <is>
          <t>Free</t>
        </is>
      </c>
      <c r="H883" s="12" t="n">
        <v>1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/>
      <c r="P883" s="12" t="n">
        <v>45</v>
      </c>
    </row>
    <row r="884">
      <c r="A884" s="12" t="inlineStr">
        <is>
          <t>USR-100883</t>
        </is>
      </c>
      <c r="B884" s="29" t="n">
        <v>45797</v>
      </c>
      <c r="C884" s="12" t="inlineStr">
        <is>
          <t>Treatment</t>
        </is>
      </c>
      <c r="D884" s="12" t="inlineStr">
        <is>
          <t>South</t>
        </is>
      </c>
      <c r="E884" s="12" t="inlineStr">
        <is>
          <t>Mobile</t>
        </is>
      </c>
      <c r="F884" s="12" t="inlineStr">
        <is>
          <t>Organic</t>
        </is>
      </c>
      <c r="G884" s="12" t="inlineStr">
        <is>
          <t>Premium</t>
        </is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/>
      <c r="P884" s="12" t="n">
        <v>60.8</v>
      </c>
    </row>
    <row r="885">
      <c r="A885" s="12" t="inlineStr">
        <is>
          <t>USR-100884</t>
        </is>
      </c>
      <c r="B885" s="29" t="n">
        <v>45787</v>
      </c>
      <c r="C885" s="12" t="inlineStr">
        <is>
          <t>Treatment</t>
        </is>
      </c>
      <c r="D885" s="12" t="inlineStr">
        <is>
          <t>North</t>
        </is>
      </c>
      <c r="E885" s="12" t="inlineStr">
        <is>
          <t>Mobile</t>
        </is>
      </c>
      <c r="F885" s="12" t="inlineStr">
        <is>
          <t>Email</t>
        </is>
      </c>
      <c r="G885" s="12" t="inlineStr">
        <is>
          <t>Premium</t>
        </is>
      </c>
      <c r="H885" s="12" t="n">
        <v>1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4</v>
      </c>
      <c r="N885" s="12" t="n">
        <v>0</v>
      </c>
      <c r="O885" s="12" t="n"/>
      <c r="P885" s="12" t="n">
        <v>53.7</v>
      </c>
    </row>
    <row r="886">
      <c r="A886" s="12" t="inlineStr">
        <is>
          <t>USR-100885</t>
        </is>
      </c>
      <c r="B886" s="29" t="n">
        <v>45745</v>
      </c>
      <c r="C886" s="12" t="inlineStr">
        <is>
          <t>Treatment</t>
        </is>
      </c>
      <c r="D886" s="12" t="inlineStr">
        <is>
          <t>East</t>
        </is>
      </c>
      <c r="E886" s="12" t="inlineStr">
        <is>
          <t>Mobile</t>
        </is>
      </c>
      <c r="F886" s="12" t="inlineStr">
        <is>
          <t>Social</t>
        </is>
      </c>
      <c r="G886" s="12" t="inlineStr">
        <is>
          <t>Free</t>
        </is>
      </c>
      <c r="H886" s="12" t="n">
        <v>1</v>
      </c>
      <c r="I886" s="12" t="n">
        <v>1</v>
      </c>
      <c r="J886" s="12" t="n">
        <v>1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/>
      <c r="P886" s="12" t="n">
        <v>48.8</v>
      </c>
    </row>
    <row r="887">
      <c r="A887" s="12" t="inlineStr">
        <is>
          <t>USR-100886</t>
        </is>
      </c>
      <c r="B887" s="29" t="n">
        <v>45750</v>
      </c>
      <c r="C887" s="12" t="inlineStr">
        <is>
          <t>Treatment</t>
        </is>
      </c>
      <c r="D887" s="12" t="inlineStr">
        <is>
          <t>West</t>
        </is>
      </c>
      <c r="E887" s="12" t="inlineStr">
        <is>
          <t>Desktop</t>
        </is>
      </c>
      <c r="F887" s="12" t="inlineStr">
        <is>
          <t>Referral</t>
        </is>
      </c>
      <c r="G887" s="12" t="inlineStr">
        <is>
          <t>Basic</t>
        </is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/>
      <c r="P887" s="12" t="n">
        <v>52.9</v>
      </c>
    </row>
    <row r="888">
      <c r="A888" s="12" t="inlineStr">
        <is>
          <t>USR-100887</t>
        </is>
      </c>
      <c r="B888" s="29" t="n">
        <v>45807</v>
      </c>
      <c r="C888" s="12" t="inlineStr">
        <is>
          <t>Treatment</t>
        </is>
      </c>
      <c r="D888" s="12" t="inlineStr">
        <is>
          <t>South</t>
        </is>
      </c>
      <c r="E888" s="12" t="inlineStr">
        <is>
          <t>Mobile</t>
        </is>
      </c>
      <c r="F888" s="12" t="inlineStr">
        <is>
          <t>Email</t>
        </is>
      </c>
      <c r="G888" s="12" t="inlineStr">
        <is>
          <t>Free</t>
        </is>
      </c>
      <c r="H888" s="12" t="n">
        <v>1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/>
      <c r="P888" s="12" t="n">
        <v>42.4</v>
      </c>
    </row>
    <row r="889">
      <c r="A889" s="12" t="inlineStr">
        <is>
          <t>USR-100888</t>
        </is>
      </c>
      <c r="B889" s="29" t="n">
        <v>45753</v>
      </c>
      <c r="C889" s="12" t="inlineStr">
        <is>
          <t>Treatment</t>
        </is>
      </c>
      <c r="D889" s="12" t="inlineStr">
        <is>
          <t>East</t>
        </is>
      </c>
      <c r="E889" s="12" t="inlineStr">
        <is>
          <t>Desktop</t>
        </is>
      </c>
      <c r="F889" s="12" t="inlineStr">
        <is>
          <t>Email</t>
        </is>
      </c>
      <c r="G889" s="12" t="inlineStr">
        <is>
          <t>Free</t>
        </is>
      </c>
      <c r="H889" s="12" t="n">
        <v>1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/>
      <c r="P889" s="12" t="n">
        <v>58.7</v>
      </c>
    </row>
    <row r="890">
      <c r="A890" s="12" t="inlineStr">
        <is>
          <t>USR-100889</t>
        </is>
      </c>
      <c r="B890" s="29" t="n">
        <v>45730</v>
      </c>
      <c r="C890" s="12" t="inlineStr">
        <is>
          <t>Treatment</t>
        </is>
      </c>
      <c r="D890" s="12" t="inlineStr">
        <is>
          <t>North</t>
        </is>
      </c>
      <c r="E890" s="12" t="inlineStr">
        <is>
          <t>Mobile</t>
        </is>
      </c>
      <c r="F890" s="12" t="inlineStr">
        <is>
          <t>Referral</t>
        </is>
      </c>
      <c r="G890" s="12" t="inlineStr">
        <is>
          <t>Free</t>
        </is>
      </c>
      <c r="H890" s="12" t="n">
        <v>1</v>
      </c>
      <c r="I890" s="12" t="n">
        <v>1</v>
      </c>
      <c r="J890" s="12" t="n">
        <v>1</v>
      </c>
      <c r="K890" s="12" t="n">
        <v>1</v>
      </c>
      <c r="L890" s="12" t="n">
        <v>2064.55</v>
      </c>
      <c r="M890" s="12" t="n">
        <v>0</v>
      </c>
      <c r="N890" s="12" t="n">
        <v>0</v>
      </c>
      <c r="O890" s="12" t="n">
        <v>1</v>
      </c>
      <c r="P890" s="12" t="n">
        <v>67.8</v>
      </c>
    </row>
    <row r="891">
      <c r="A891" s="12" t="inlineStr">
        <is>
          <t>USR-100890</t>
        </is>
      </c>
      <c r="B891" s="29" t="n">
        <v>45712</v>
      </c>
      <c r="C891" s="12" t="inlineStr">
        <is>
          <t>Treatment</t>
        </is>
      </c>
      <c r="D891" s="12" t="inlineStr">
        <is>
          <t>South</t>
        </is>
      </c>
      <c r="E891" s="12" t="inlineStr">
        <is>
          <t>Desktop</t>
        </is>
      </c>
      <c r="F891" s="12" t="inlineStr">
        <is>
          <t>Paid Search</t>
        </is>
      </c>
      <c r="G891" s="12" t="inlineStr">
        <is>
          <t>Basic</t>
        </is>
      </c>
      <c r="H891" s="12" t="n">
        <v>1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/>
      <c r="P891" s="12" t="n">
        <v>62.6</v>
      </c>
    </row>
    <row r="892">
      <c r="A892" s="12" t="inlineStr">
        <is>
          <t>USR-100891</t>
        </is>
      </c>
      <c r="B892" s="29" t="n">
        <v>45720</v>
      </c>
      <c r="C892" s="12" t="inlineStr">
        <is>
          <t>Treatment</t>
        </is>
      </c>
      <c r="D892" s="12" t="inlineStr">
        <is>
          <t>West</t>
        </is>
      </c>
      <c r="E892" s="12" t="inlineStr">
        <is>
          <t>Mobile</t>
        </is>
      </c>
      <c r="F892" s="12" t="inlineStr">
        <is>
          <t>Email</t>
        </is>
      </c>
      <c r="G892" s="12" t="inlineStr">
        <is>
          <t>Basic</t>
        </is>
      </c>
      <c r="H892" s="12" t="n">
        <v>1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/>
      <c r="P892" s="12" t="n">
        <v>82.40000000000001</v>
      </c>
    </row>
    <row r="893">
      <c r="A893" s="12" t="inlineStr">
        <is>
          <t>USR-100892</t>
        </is>
      </c>
      <c r="B893" s="29" t="n">
        <v>45749</v>
      </c>
      <c r="C893" s="12" t="inlineStr">
        <is>
          <t>Treatment</t>
        </is>
      </c>
      <c r="D893" s="12" t="inlineStr">
        <is>
          <t>North</t>
        </is>
      </c>
      <c r="E893" s="12" t="inlineStr">
        <is>
          <t>Mobile</t>
        </is>
      </c>
      <c r="F893" s="12" t="inlineStr">
        <is>
          <t>Organic</t>
        </is>
      </c>
      <c r="G893" s="12" t="inlineStr">
        <is>
          <t>Free</t>
        </is>
      </c>
      <c r="H893" s="12" t="n">
        <v>1</v>
      </c>
      <c r="I893" s="12" t="n">
        <v>1</v>
      </c>
      <c r="J893" s="12" t="n">
        <v>1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/>
      <c r="P893" s="12" t="n">
        <v>50.4</v>
      </c>
    </row>
    <row r="894">
      <c r="A894" s="12" t="inlineStr">
        <is>
          <t>USR-100893</t>
        </is>
      </c>
      <c r="B894" s="29" t="n">
        <v>45788</v>
      </c>
      <c r="C894" s="12" t="inlineStr">
        <is>
          <t>Treatment</t>
        </is>
      </c>
      <c r="D894" s="12" t="inlineStr">
        <is>
          <t>North</t>
        </is>
      </c>
      <c r="E894" s="12" t="inlineStr">
        <is>
          <t>Mobile</t>
        </is>
      </c>
      <c r="F894" s="12" t="inlineStr">
        <is>
          <t>Email</t>
        </is>
      </c>
      <c r="G894" s="12" t="inlineStr">
        <is>
          <t>Premium</t>
        </is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/>
      <c r="P894" s="12" t="n">
        <v>68.40000000000001</v>
      </c>
    </row>
    <row r="895">
      <c r="A895" s="12" t="inlineStr">
        <is>
          <t>USR-100894</t>
        </is>
      </c>
      <c r="B895" s="29" t="n">
        <v>45787</v>
      </c>
      <c r="C895" s="12" t="inlineStr">
        <is>
          <t>Treatment</t>
        </is>
      </c>
      <c r="D895" s="12" t="inlineStr">
        <is>
          <t>West</t>
        </is>
      </c>
      <c r="E895" s="12" t="inlineStr">
        <is>
          <t>Tablet</t>
        </is>
      </c>
      <c r="F895" s="12" t="inlineStr">
        <is>
          <t>Paid Search</t>
        </is>
      </c>
      <c r="G895" s="12" t="inlineStr">
        <is>
          <t>Basic</t>
        </is>
      </c>
      <c r="H895" s="12" t="n">
        <v>1</v>
      </c>
      <c r="I895" s="12" t="n">
        <v>1</v>
      </c>
      <c r="J895" s="12" t="n">
        <v>1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/>
      <c r="P895" s="12" t="n">
        <v>58.8</v>
      </c>
    </row>
    <row r="896">
      <c r="A896" s="12" t="inlineStr">
        <is>
          <t>USR-100895</t>
        </is>
      </c>
      <c r="B896" s="29" t="n">
        <v>45783</v>
      </c>
      <c r="C896" s="12" t="inlineStr">
        <is>
          <t>Treatment</t>
        </is>
      </c>
      <c r="D896" s="12" t="inlineStr">
        <is>
          <t>West</t>
        </is>
      </c>
      <c r="E896" s="12" t="inlineStr">
        <is>
          <t>Mobile</t>
        </is>
      </c>
      <c r="F896" s="12" t="inlineStr">
        <is>
          <t>Referral</t>
        </is>
      </c>
      <c r="G896" s="12" t="inlineStr">
        <is>
          <t>Free</t>
        </is>
      </c>
      <c r="H896" s="12" t="n">
        <v>1</v>
      </c>
      <c r="I896" s="12" t="n">
        <v>1</v>
      </c>
      <c r="J896" s="12" t="n">
        <v>0</v>
      </c>
      <c r="K896" s="12" t="n">
        <v>0</v>
      </c>
      <c r="L896" s="12" t="n">
        <v>0</v>
      </c>
      <c r="M896" s="12" t="n">
        <v>2</v>
      </c>
      <c r="N896" s="12" t="n">
        <v>0</v>
      </c>
      <c r="O896" s="12" t="n"/>
      <c r="P896" s="12" t="n">
        <v>28.3</v>
      </c>
    </row>
    <row r="897">
      <c r="A897" s="12" t="inlineStr">
        <is>
          <t>USR-100896</t>
        </is>
      </c>
      <c r="B897" s="29" t="n">
        <v>45699</v>
      </c>
      <c r="C897" s="12" t="inlineStr">
        <is>
          <t>Treatment</t>
        </is>
      </c>
      <c r="D897" s="12" t="inlineStr">
        <is>
          <t>West</t>
        </is>
      </c>
      <c r="E897" s="12" t="inlineStr">
        <is>
          <t>Desktop</t>
        </is>
      </c>
      <c r="F897" s="12" t="inlineStr">
        <is>
          <t>Paid Search</t>
        </is>
      </c>
      <c r="G897" s="12" t="inlineStr">
        <is>
          <t>Free</t>
        </is>
      </c>
      <c r="H897" s="12" t="n">
        <v>1</v>
      </c>
      <c r="I897" s="12" t="n">
        <v>1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/>
      <c r="P897" s="12" t="n">
        <v>44.1</v>
      </c>
    </row>
    <row r="898">
      <c r="A898" s="12" t="inlineStr">
        <is>
          <t>USR-100897</t>
        </is>
      </c>
      <c r="B898" s="29" t="n">
        <v>45786</v>
      </c>
      <c r="C898" s="12" t="inlineStr">
        <is>
          <t>Treatment</t>
        </is>
      </c>
      <c r="D898" s="12" t="inlineStr">
        <is>
          <t>South</t>
        </is>
      </c>
      <c r="E898" s="12" t="inlineStr">
        <is>
          <t>Mobile</t>
        </is>
      </c>
      <c r="F898" s="12" t="inlineStr">
        <is>
          <t>Paid Search</t>
        </is>
      </c>
      <c r="G898" s="12" t="inlineStr">
        <is>
          <t>Premium</t>
        </is>
      </c>
      <c r="H898" s="12" t="n">
        <v>1</v>
      </c>
      <c r="I898" s="12" t="n">
        <v>1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/>
      <c r="P898" s="12" t="n">
        <v>66.7</v>
      </c>
    </row>
    <row r="899">
      <c r="A899" s="12" t="inlineStr">
        <is>
          <t>USR-100898</t>
        </is>
      </c>
      <c r="B899" s="29" t="n">
        <v>45690</v>
      </c>
      <c r="C899" s="12" t="inlineStr">
        <is>
          <t>Treatment</t>
        </is>
      </c>
      <c r="D899" s="12" t="inlineStr">
        <is>
          <t>South</t>
        </is>
      </c>
      <c r="E899" s="12" t="inlineStr">
        <is>
          <t>Mobile</t>
        </is>
      </c>
      <c r="F899" s="12" t="n"/>
      <c r="G899" s="12" t="inlineStr">
        <is>
          <t>Free</t>
        </is>
      </c>
      <c r="H899" s="12" t="n">
        <v>1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/>
      <c r="P899" s="12" t="n">
        <v>100</v>
      </c>
    </row>
    <row r="900">
      <c r="A900" s="12" t="inlineStr">
        <is>
          <t>USR-100899</t>
        </is>
      </c>
      <c r="B900" s="29" t="n">
        <v>45750</v>
      </c>
      <c r="C900" s="12" t="inlineStr">
        <is>
          <t>Treatment</t>
        </is>
      </c>
      <c r="D900" s="12" t="inlineStr">
        <is>
          <t>South</t>
        </is>
      </c>
      <c r="E900" s="12" t="inlineStr">
        <is>
          <t>Mobile</t>
        </is>
      </c>
      <c r="F900" s="12" t="inlineStr">
        <is>
          <t>Social</t>
        </is>
      </c>
      <c r="G900" s="12" t="inlineStr">
        <is>
          <t>Free</t>
        </is>
      </c>
      <c r="H900" s="12" t="n">
        <v>1</v>
      </c>
      <c r="I900" s="12" t="n">
        <v>1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/>
      <c r="P900" s="12" t="n">
        <v>87.5</v>
      </c>
    </row>
    <row r="901">
      <c r="A901" s="12" t="inlineStr">
        <is>
          <t>USR-100900</t>
        </is>
      </c>
      <c r="B901" s="29" t="n">
        <v>45703</v>
      </c>
      <c r="C901" s="12" t="inlineStr">
        <is>
          <t>Treatment</t>
        </is>
      </c>
      <c r="D901" s="12" t="inlineStr">
        <is>
          <t>North</t>
        </is>
      </c>
      <c r="E901" s="12" t="inlineStr">
        <is>
          <t>Desktop</t>
        </is>
      </c>
      <c r="F901" s="12" t="inlineStr">
        <is>
          <t>Organic</t>
        </is>
      </c>
      <c r="G901" s="12" t="inlineStr">
        <is>
          <t>Basic</t>
        </is>
      </c>
      <c r="H901" s="12" t="n">
        <v>1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2</v>
      </c>
      <c r="N901" s="12" t="n">
        <v>0</v>
      </c>
      <c r="O901" s="12" t="n"/>
      <c r="P901" s="12" t="n">
        <v>65.40000000000001</v>
      </c>
    </row>
    <row r="902">
      <c r="A902" s="12" t="inlineStr">
        <is>
          <t>USR-100901</t>
        </is>
      </c>
      <c r="B902" s="29" t="n">
        <v>45765</v>
      </c>
      <c r="C902" s="12" t="inlineStr">
        <is>
          <t>Treatment</t>
        </is>
      </c>
      <c r="D902" s="12" t="inlineStr">
        <is>
          <t>South</t>
        </is>
      </c>
      <c r="E902" s="12" t="inlineStr">
        <is>
          <t>Desktop</t>
        </is>
      </c>
      <c r="F902" s="12" t="inlineStr">
        <is>
          <t>Organic</t>
        </is>
      </c>
      <c r="G902" s="12" t="inlineStr">
        <is>
          <t>Free</t>
        </is>
      </c>
      <c r="H902" s="12" t="n">
        <v>1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/>
      <c r="P902" s="12" t="n">
        <v>22.9</v>
      </c>
    </row>
    <row r="903">
      <c r="A903" s="12" t="inlineStr">
        <is>
          <t>USR-100902</t>
        </is>
      </c>
      <c r="B903" s="29" t="n">
        <v>45730</v>
      </c>
      <c r="C903" s="12" t="inlineStr">
        <is>
          <t>Treatment</t>
        </is>
      </c>
      <c r="D903" s="12" t="inlineStr">
        <is>
          <t>West</t>
        </is>
      </c>
      <c r="E903" s="12" t="inlineStr">
        <is>
          <t>Desktop</t>
        </is>
      </c>
      <c r="F903" s="12" t="inlineStr">
        <is>
          <t>Organic</t>
        </is>
      </c>
      <c r="G903" s="12" t="inlineStr">
        <is>
          <t>Premium</t>
        </is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/>
      <c r="P903" s="12" t="n">
        <v>64.59999999999999</v>
      </c>
    </row>
    <row r="904">
      <c r="A904" s="12" t="inlineStr">
        <is>
          <t>USR-100903</t>
        </is>
      </c>
      <c r="B904" s="29" t="n">
        <v>45745</v>
      </c>
      <c r="C904" s="12" t="inlineStr">
        <is>
          <t>Treatment</t>
        </is>
      </c>
      <c r="D904" s="12" t="inlineStr">
        <is>
          <t>South</t>
        </is>
      </c>
      <c r="E904" s="12" t="inlineStr">
        <is>
          <t>Mobile</t>
        </is>
      </c>
      <c r="F904" s="12" t="inlineStr">
        <is>
          <t>Referral</t>
        </is>
      </c>
      <c r="G904" s="12" t="inlineStr">
        <is>
          <t>Free</t>
        </is>
      </c>
      <c r="H904" s="12" t="n">
        <v>1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2</v>
      </c>
      <c r="N904" s="12" t="n">
        <v>0</v>
      </c>
      <c r="O904" s="12" t="n"/>
      <c r="P904" s="12" t="n">
        <v>54.4</v>
      </c>
    </row>
    <row r="905">
      <c r="A905" s="12" t="inlineStr">
        <is>
          <t>USR-100904</t>
        </is>
      </c>
      <c r="B905" s="29" t="n">
        <v>45701</v>
      </c>
      <c r="C905" s="12" t="inlineStr">
        <is>
          <t>Treatment</t>
        </is>
      </c>
      <c r="D905" s="12" t="inlineStr">
        <is>
          <t>North</t>
        </is>
      </c>
      <c r="E905" s="12" t="inlineStr">
        <is>
          <t>Desktop</t>
        </is>
      </c>
      <c r="F905" s="12" t="inlineStr">
        <is>
          <t>Organic</t>
        </is>
      </c>
      <c r="G905" s="12" t="inlineStr">
        <is>
          <t>Free</t>
        </is>
      </c>
      <c r="H905" s="12" t="n">
        <v>1</v>
      </c>
      <c r="I905" s="12" t="n">
        <v>1</v>
      </c>
      <c r="J905" s="12" t="n">
        <v>1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/>
      <c r="P905" s="12" t="n">
        <v>56.8</v>
      </c>
    </row>
    <row r="906">
      <c r="A906" s="12" t="inlineStr">
        <is>
          <t>USR-100905</t>
        </is>
      </c>
      <c r="B906" s="29" t="n">
        <v>45680</v>
      </c>
      <c r="C906" s="12" t="inlineStr">
        <is>
          <t>Treatment</t>
        </is>
      </c>
      <c r="D906" s="12" t="inlineStr">
        <is>
          <t>South</t>
        </is>
      </c>
      <c r="E906" s="12" t="inlineStr">
        <is>
          <t>Mobile</t>
        </is>
      </c>
      <c r="F906" s="12" t="inlineStr">
        <is>
          <t>Paid Search</t>
        </is>
      </c>
      <c r="G906" s="12" t="inlineStr">
        <is>
          <t>Free</t>
        </is>
      </c>
      <c r="H906" s="12" t="n">
        <v>1</v>
      </c>
      <c r="I906" s="12" t="n">
        <v>1</v>
      </c>
      <c r="J906" s="12" t="n">
        <v>1</v>
      </c>
      <c r="K906" s="12" t="n">
        <v>1</v>
      </c>
      <c r="L906" s="12" t="n">
        <v>341.38</v>
      </c>
      <c r="M906" s="12" t="n">
        <v>0</v>
      </c>
      <c r="N906" s="12" t="n">
        <v>0</v>
      </c>
      <c r="O906" s="12" t="n">
        <v>2</v>
      </c>
      <c r="P906" s="12" t="n">
        <v>63.6</v>
      </c>
    </row>
    <row r="907">
      <c r="A907" s="12" t="inlineStr">
        <is>
          <t>USR-100906</t>
        </is>
      </c>
      <c r="B907" s="29" t="n">
        <v>45712</v>
      </c>
      <c r="C907" s="12" t="inlineStr">
        <is>
          <t>Treatment</t>
        </is>
      </c>
      <c r="D907" s="12" t="inlineStr">
        <is>
          <t>East</t>
        </is>
      </c>
      <c r="E907" s="12" t="inlineStr">
        <is>
          <t>Mobile</t>
        </is>
      </c>
      <c r="F907" s="12" t="inlineStr">
        <is>
          <t>Social</t>
        </is>
      </c>
      <c r="G907" s="12" t="inlineStr">
        <is>
          <t>Free</t>
        </is>
      </c>
      <c r="H907" s="12" t="n">
        <v>1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/>
      <c r="P907" s="12" t="n">
        <v>58.2</v>
      </c>
    </row>
    <row r="908">
      <c r="A908" s="12" t="inlineStr">
        <is>
          <t>USR-100907</t>
        </is>
      </c>
      <c r="B908" s="29" t="n">
        <v>45716</v>
      </c>
      <c r="C908" s="12" t="inlineStr">
        <is>
          <t>Treatment</t>
        </is>
      </c>
      <c r="D908" s="12" t="inlineStr">
        <is>
          <t>West</t>
        </is>
      </c>
      <c r="E908" s="12" t="inlineStr">
        <is>
          <t>Mobile</t>
        </is>
      </c>
      <c r="F908" s="12" t="inlineStr">
        <is>
          <t>Paid Search</t>
        </is>
      </c>
      <c r="G908" s="12" t="inlineStr">
        <is>
          <t>Free</t>
        </is>
      </c>
      <c r="H908" s="12" t="n">
        <v>1</v>
      </c>
      <c r="I908" s="12" t="n">
        <v>1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/>
      <c r="P908" s="12" t="n">
        <v>54.6</v>
      </c>
    </row>
    <row r="909">
      <c r="A909" s="12" t="inlineStr">
        <is>
          <t>USR-100908</t>
        </is>
      </c>
      <c r="B909" s="29" t="n">
        <v>45664</v>
      </c>
      <c r="C909" s="12" t="inlineStr">
        <is>
          <t>Treatment</t>
        </is>
      </c>
      <c r="D909" s="12" t="inlineStr">
        <is>
          <t>West</t>
        </is>
      </c>
      <c r="E909" s="12" t="inlineStr">
        <is>
          <t>Tablet</t>
        </is>
      </c>
      <c r="F909" s="12" t="inlineStr">
        <is>
          <t>Organic</t>
        </is>
      </c>
      <c r="G909" s="12" t="inlineStr">
        <is>
          <t>Basic</t>
        </is>
      </c>
      <c r="H909" s="12" t="n">
        <v>1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/>
      <c r="P909" s="12" t="n">
        <v>81.90000000000001</v>
      </c>
    </row>
    <row r="910">
      <c r="A910" s="12" t="inlineStr">
        <is>
          <t>USR-100909</t>
        </is>
      </c>
      <c r="B910" s="29" t="n">
        <v>45737</v>
      </c>
      <c r="C910" s="12" t="inlineStr">
        <is>
          <t>Treatment</t>
        </is>
      </c>
      <c r="D910" s="12" t="inlineStr">
        <is>
          <t>West</t>
        </is>
      </c>
      <c r="E910" s="12" t="inlineStr">
        <is>
          <t>Desktop</t>
        </is>
      </c>
      <c r="F910" s="12" t="inlineStr">
        <is>
          <t>Email</t>
        </is>
      </c>
      <c r="G910" s="12" t="inlineStr">
        <is>
          <t>Free</t>
        </is>
      </c>
      <c r="H910" s="12" t="n">
        <v>1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3</v>
      </c>
      <c r="N910" s="12" t="n">
        <v>0</v>
      </c>
      <c r="O910" s="12" t="n"/>
      <c r="P910" s="12" t="n">
        <v>53.3</v>
      </c>
    </row>
    <row r="911">
      <c r="A911" s="12" t="inlineStr">
        <is>
          <t>USR-100910</t>
        </is>
      </c>
      <c r="B911" s="29" t="n">
        <v>45706</v>
      </c>
      <c r="C911" s="12" t="inlineStr">
        <is>
          <t>Treatment</t>
        </is>
      </c>
      <c r="D911" s="12" t="inlineStr">
        <is>
          <t>North</t>
        </is>
      </c>
      <c r="E911" s="12" t="inlineStr">
        <is>
          <t>Desktop</t>
        </is>
      </c>
      <c r="F911" s="12" t="inlineStr">
        <is>
          <t>Organic</t>
        </is>
      </c>
      <c r="G911" s="12" t="inlineStr">
        <is>
          <t>Basic</t>
        </is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/>
      <c r="P911" s="12" t="n">
        <v>54.2</v>
      </c>
    </row>
    <row r="912">
      <c r="A912" s="12" t="inlineStr">
        <is>
          <t>USR-100911</t>
        </is>
      </c>
      <c r="B912" s="29" t="n">
        <v>45662</v>
      </c>
      <c r="C912" s="12" t="inlineStr">
        <is>
          <t>Treatment</t>
        </is>
      </c>
      <c r="D912" s="12" t="inlineStr">
        <is>
          <t>North</t>
        </is>
      </c>
      <c r="E912" s="12" t="inlineStr">
        <is>
          <t>Mobile</t>
        </is>
      </c>
      <c r="F912" s="12" t="inlineStr">
        <is>
          <t>Paid Search</t>
        </is>
      </c>
      <c r="G912" s="12" t="inlineStr">
        <is>
          <t>Free</t>
        </is>
      </c>
      <c r="H912" s="12" t="n">
        <v>1</v>
      </c>
      <c r="I912" s="12" t="n">
        <v>1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/>
      <c r="P912" s="12" t="n">
        <v>65.59999999999999</v>
      </c>
    </row>
    <row r="913">
      <c r="A913" s="12" t="inlineStr">
        <is>
          <t>USR-100912</t>
        </is>
      </c>
      <c r="B913" s="29" t="n">
        <v>45727</v>
      </c>
      <c r="C913" s="12" t="inlineStr">
        <is>
          <t>Treatment</t>
        </is>
      </c>
      <c r="D913" s="12" t="inlineStr">
        <is>
          <t>East</t>
        </is>
      </c>
      <c r="E913" s="12" t="inlineStr">
        <is>
          <t>Desktop</t>
        </is>
      </c>
      <c r="F913" s="12" t="inlineStr">
        <is>
          <t>Organic</t>
        </is>
      </c>
      <c r="G913" s="12" t="inlineStr">
        <is>
          <t>Basic</t>
        </is>
      </c>
      <c r="H913" s="12" t="n">
        <v>1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1</v>
      </c>
      <c r="N913" s="12" t="n">
        <v>0</v>
      </c>
      <c r="O913" s="12" t="n"/>
      <c r="P913" s="12" t="n">
        <v>56.5</v>
      </c>
    </row>
    <row r="914">
      <c r="A914" s="12" t="inlineStr">
        <is>
          <t>USR-100913</t>
        </is>
      </c>
      <c r="B914" s="29" t="n">
        <v>45666</v>
      </c>
      <c r="C914" s="12" t="inlineStr">
        <is>
          <t>Treatment</t>
        </is>
      </c>
      <c r="D914" s="12" t="inlineStr">
        <is>
          <t>North</t>
        </is>
      </c>
      <c r="E914" s="12" t="inlineStr">
        <is>
          <t>Desktop</t>
        </is>
      </c>
      <c r="F914" s="12" t="inlineStr">
        <is>
          <t>Organic</t>
        </is>
      </c>
      <c r="G914" s="12" t="inlineStr">
        <is>
          <t>Basic</t>
        </is>
      </c>
      <c r="H914" s="12" t="n">
        <v>1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/>
      <c r="P914" s="12" t="n">
        <v>59.7</v>
      </c>
    </row>
    <row r="915">
      <c r="A915" s="12" t="inlineStr">
        <is>
          <t>USR-100914</t>
        </is>
      </c>
      <c r="B915" s="29" t="n">
        <v>45665</v>
      </c>
      <c r="C915" s="12" t="inlineStr">
        <is>
          <t>Treatment</t>
        </is>
      </c>
      <c r="D915" s="12" t="inlineStr">
        <is>
          <t>South</t>
        </is>
      </c>
      <c r="E915" s="12" t="inlineStr">
        <is>
          <t>Mobile</t>
        </is>
      </c>
      <c r="F915" s="12" t="inlineStr">
        <is>
          <t>Organic</t>
        </is>
      </c>
      <c r="G915" s="12" t="inlineStr">
        <is>
          <t>Free</t>
        </is>
      </c>
      <c r="H915" s="12" t="n">
        <v>1</v>
      </c>
      <c r="I915" s="12" t="n">
        <v>1</v>
      </c>
      <c r="J915" s="12" t="n">
        <v>1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/>
      <c r="P915" s="12" t="n">
        <v>72.5</v>
      </c>
    </row>
    <row r="916">
      <c r="A916" s="12" t="inlineStr">
        <is>
          <t>USR-100915</t>
        </is>
      </c>
      <c r="B916" s="29" t="n">
        <v>45778</v>
      </c>
      <c r="C916" s="12" t="inlineStr">
        <is>
          <t>Treatment</t>
        </is>
      </c>
      <c r="D916" s="12" t="inlineStr">
        <is>
          <t>East</t>
        </is>
      </c>
      <c r="E916" s="12" t="inlineStr">
        <is>
          <t>Desktop</t>
        </is>
      </c>
      <c r="F916" s="12" t="inlineStr">
        <is>
          <t>Paid Search</t>
        </is>
      </c>
      <c r="G916" s="12" t="inlineStr">
        <is>
          <t>Free</t>
        </is>
      </c>
      <c r="H916" s="12" t="n">
        <v>1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/>
      <c r="P916" s="12" t="n">
        <v>64.3</v>
      </c>
    </row>
    <row r="917">
      <c r="A917" s="12" t="inlineStr">
        <is>
          <t>USR-100916</t>
        </is>
      </c>
      <c r="B917" s="29" t="n">
        <v>45719</v>
      </c>
      <c r="C917" s="12" t="inlineStr">
        <is>
          <t>Treatment</t>
        </is>
      </c>
      <c r="D917" s="12" t="inlineStr">
        <is>
          <t>South</t>
        </is>
      </c>
      <c r="E917" s="12" t="inlineStr">
        <is>
          <t>Mobile</t>
        </is>
      </c>
      <c r="F917" s="12" t="inlineStr">
        <is>
          <t>Social</t>
        </is>
      </c>
      <c r="G917" s="12" t="inlineStr">
        <is>
          <t>Free</t>
        </is>
      </c>
      <c r="H917" s="12" t="n">
        <v>1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/>
      <c r="P917" s="12" t="n">
        <v>64.5</v>
      </c>
    </row>
    <row r="918">
      <c r="A918" s="12" t="inlineStr">
        <is>
          <t>USR-100917</t>
        </is>
      </c>
      <c r="B918" s="29" t="n">
        <v>45711</v>
      </c>
      <c r="C918" s="12" t="inlineStr">
        <is>
          <t>Treatment</t>
        </is>
      </c>
      <c r="D918" s="12" t="inlineStr">
        <is>
          <t>West</t>
        </is>
      </c>
      <c r="E918" s="12" t="inlineStr">
        <is>
          <t>Desktop</t>
        </is>
      </c>
      <c r="F918" s="12" t="inlineStr">
        <is>
          <t>Social</t>
        </is>
      </c>
      <c r="G918" s="12" t="inlineStr">
        <is>
          <t>Basic</t>
        </is>
      </c>
      <c r="H918" s="12" t="n">
        <v>1</v>
      </c>
      <c r="I918" s="12" t="n">
        <v>1</v>
      </c>
      <c r="J918" s="12" t="n">
        <v>1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/>
      <c r="P918" s="12" t="n">
        <v>70.59999999999999</v>
      </c>
    </row>
    <row r="919">
      <c r="A919" s="12" t="inlineStr">
        <is>
          <t>USR-100918</t>
        </is>
      </c>
      <c r="B919" s="29" t="n">
        <v>45705</v>
      </c>
      <c r="C919" s="12" t="inlineStr">
        <is>
          <t>Treatment</t>
        </is>
      </c>
      <c r="D919" s="12" t="inlineStr">
        <is>
          <t>South</t>
        </is>
      </c>
      <c r="E919" s="12" t="inlineStr">
        <is>
          <t>Desktop</t>
        </is>
      </c>
      <c r="F919" s="12" t="inlineStr">
        <is>
          <t>Organic</t>
        </is>
      </c>
      <c r="G919" s="12" t="inlineStr">
        <is>
          <t>Basic</t>
        </is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/>
      <c r="P919" s="12" t="n">
        <v>58.4</v>
      </c>
    </row>
    <row r="920">
      <c r="A920" s="12" t="inlineStr">
        <is>
          <t>USR-100919</t>
        </is>
      </c>
      <c r="B920" s="29" t="n">
        <v>45798</v>
      </c>
      <c r="C920" s="12" t="inlineStr">
        <is>
          <t>Treatment</t>
        </is>
      </c>
      <c r="D920" s="12" t="inlineStr">
        <is>
          <t>East</t>
        </is>
      </c>
      <c r="E920" s="12" t="inlineStr">
        <is>
          <t>Mobile</t>
        </is>
      </c>
      <c r="F920" s="12" t="inlineStr">
        <is>
          <t>Organic</t>
        </is>
      </c>
      <c r="G920" s="12" t="inlineStr">
        <is>
          <t>Basic</t>
        </is>
      </c>
      <c r="H920" s="12" t="n">
        <v>1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/>
      <c r="P920" s="12" t="n">
        <v>56.6</v>
      </c>
    </row>
    <row r="921">
      <c r="A921" s="12" t="inlineStr">
        <is>
          <t>USR-100920</t>
        </is>
      </c>
      <c r="B921" s="29" t="n">
        <v>45687</v>
      </c>
      <c r="C921" s="12" t="inlineStr">
        <is>
          <t>Treatment</t>
        </is>
      </c>
      <c r="D921" s="12" t="inlineStr">
        <is>
          <t>South</t>
        </is>
      </c>
      <c r="E921" s="12" t="inlineStr">
        <is>
          <t>Mobile</t>
        </is>
      </c>
      <c r="F921" s="12" t="inlineStr">
        <is>
          <t>Organic</t>
        </is>
      </c>
      <c r="G921" s="12" t="inlineStr">
        <is>
          <t>Free</t>
        </is>
      </c>
      <c r="H921" s="12" t="n">
        <v>1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/>
      <c r="P921" s="12" t="n">
        <v>61.8</v>
      </c>
    </row>
    <row r="922">
      <c r="A922" s="12" t="inlineStr">
        <is>
          <t>USR-100921</t>
        </is>
      </c>
      <c r="B922" s="29" t="n">
        <v>45736</v>
      </c>
      <c r="C922" s="12" t="inlineStr">
        <is>
          <t>Treatment</t>
        </is>
      </c>
      <c r="D922" s="12" t="inlineStr">
        <is>
          <t>West</t>
        </is>
      </c>
      <c r="E922" s="12" t="inlineStr">
        <is>
          <t>Mobile</t>
        </is>
      </c>
      <c r="F922" s="12" t="inlineStr">
        <is>
          <t>Email</t>
        </is>
      </c>
      <c r="G922" s="12" t="inlineStr">
        <is>
          <t>Free</t>
        </is>
      </c>
      <c r="H922" s="12" t="n">
        <v>1</v>
      </c>
      <c r="I922" s="12" t="n">
        <v>1</v>
      </c>
      <c r="J922" s="12" t="n">
        <v>1</v>
      </c>
      <c r="K922" s="12" t="n">
        <v>1</v>
      </c>
      <c r="L922" s="12" t="n">
        <v>513.52</v>
      </c>
      <c r="M922" s="12" t="n">
        <v>0</v>
      </c>
      <c r="N922" s="12" t="n">
        <v>0</v>
      </c>
      <c r="O922" s="12" t="n">
        <v>8</v>
      </c>
      <c r="P922" s="12" t="n">
        <v>43.4</v>
      </c>
    </row>
    <row r="923">
      <c r="A923" s="12" t="inlineStr">
        <is>
          <t>USR-100922</t>
        </is>
      </c>
      <c r="B923" s="29" t="n">
        <v>45757</v>
      </c>
      <c r="C923" s="12" t="inlineStr">
        <is>
          <t>Treatment</t>
        </is>
      </c>
      <c r="D923" s="12" t="inlineStr">
        <is>
          <t>West</t>
        </is>
      </c>
      <c r="E923" s="12" t="inlineStr">
        <is>
          <t>Tablet</t>
        </is>
      </c>
      <c r="F923" s="12" t="inlineStr">
        <is>
          <t>Paid Search</t>
        </is>
      </c>
      <c r="G923" s="12" t="inlineStr">
        <is>
          <t>Free</t>
        </is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/>
      <c r="P923" s="12" t="n">
        <v>43</v>
      </c>
    </row>
    <row r="924">
      <c r="A924" s="12" t="inlineStr">
        <is>
          <t>USR-100923</t>
        </is>
      </c>
      <c r="B924" s="29" t="n">
        <v>45723</v>
      </c>
      <c r="C924" s="12" t="inlineStr">
        <is>
          <t>Treatment</t>
        </is>
      </c>
      <c r="D924" s="12" t="inlineStr">
        <is>
          <t>North</t>
        </is>
      </c>
      <c r="E924" s="12" t="inlineStr">
        <is>
          <t>Desktop</t>
        </is>
      </c>
      <c r="F924" s="12" t="inlineStr">
        <is>
          <t>Organic</t>
        </is>
      </c>
      <c r="G924" s="12" t="inlineStr">
        <is>
          <t>Free</t>
        </is>
      </c>
      <c r="H924" s="12" t="n">
        <v>1</v>
      </c>
      <c r="I924" s="12" t="n">
        <v>1</v>
      </c>
      <c r="J924" s="12" t="n">
        <v>1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/>
      <c r="P924" s="12" t="n">
        <v>51.1</v>
      </c>
    </row>
    <row r="925">
      <c r="A925" s="12" t="inlineStr">
        <is>
          <t>USR-100924</t>
        </is>
      </c>
      <c r="B925" s="29" t="n">
        <v>45728</v>
      </c>
      <c r="C925" s="12" t="inlineStr">
        <is>
          <t>Treatment</t>
        </is>
      </c>
      <c r="D925" s="12" t="inlineStr">
        <is>
          <t>West</t>
        </is>
      </c>
      <c r="E925" s="12" t="inlineStr">
        <is>
          <t>Mobile</t>
        </is>
      </c>
      <c r="F925" s="12" t="inlineStr">
        <is>
          <t>Email</t>
        </is>
      </c>
      <c r="G925" s="12" t="inlineStr">
        <is>
          <t>Basic</t>
        </is>
      </c>
      <c r="H925" s="12" t="n">
        <v>1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/>
      <c r="P925" s="12" t="n">
        <v>48.8</v>
      </c>
    </row>
    <row r="926">
      <c r="A926" s="12" t="inlineStr">
        <is>
          <t>USR-100925</t>
        </is>
      </c>
      <c r="B926" s="29" t="n">
        <v>45712</v>
      </c>
      <c r="C926" s="12" t="inlineStr">
        <is>
          <t>Treatment</t>
        </is>
      </c>
      <c r="D926" s="12" t="inlineStr">
        <is>
          <t>East</t>
        </is>
      </c>
      <c r="E926" s="12" t="inlineStr">
        <is>
          <t>Mobile</t>
        </is>
      </c>
      <c r="F926" s="12" t="inlineStr">
        <is>
          <t>Referral</t>
        </is>
      </c>
      <c r="G926" s="12" t="inlineStr">
        <is>
          <t>Free</t>
        </is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/>
      <c r="P926" s="12" t="n">
        <v>73.2</v>
      </c>
    </row>
    <row r="927">
      <c r="A927" s="12" t="inlineStr">
        <is>
          <t>USR-100926</t>
        </is>
      </c>
      <c r="B927" s="29" t="n">
        <v>45672</v>
      </c>
      <c r="C927" s="12" t="inlineStr">
        <is>
          <t>Treatment</t>
        </is>
      </c>
      <c r="D927" s="12" t="inlineStr">
        <is>
          <t>East</t>
        </is>
      </c>
      <c r="E927" s="12" t="inlineStr">
        <is>
          <t>Mobile</t>
        </is>
      </c>
      <c r="F927" s="12" t="inlineStr">
        <is>
          <t>Referral</t>
        </is>
      </c>
      <c r="G927" s="12" t="inlineStr">
        <is>
          <t>Free</t>
        </is>
      </c>
      <c r="H927" s="12" t="n">
        <v>1</v>
      </c>
      <c r="I927" s="12" t="n">
        <v>1</v>
      </c>
      <c r="J927" s="12" t="n">
        <v>1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/>
      <c r="P927" s="12" t="n">
        <v>80</v>
      </c>
    </row>
    <row r="928">
      <c r="A928" s="12" t="inlineStr">
        <is>
          <t>USR-100927</t>
        </is>
      </c>
      <c r="B928" s="29" t="n">
        <v>45664</v>
      </c>
      <c r="C928" s="12" t="inlineStr">
        <is>
          <t>Treatment</t>
        </is>
      </c>
      <c r="D928" s="12" t="inlineStr">
        <is>
          <t>North</t>
        </is>
      </c>
      <c r="E928" s="12" t="inlineStr">
        <is>
          <t>Desktop</t>
        </is>
      </c>
      <c r="F928" s="12" t="inlineStr">
        <is>
          <t>Paid Search</t>
        </is>
      </c>
      <c r="G928" s="12" t="inlineStr">
        <is>
          <t>Free</t>
        </is>
      </c>
      <c r="H928" s="12" t="n">
        <v>1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/>
      <c r="P928" s="12" t="n">
        <v>52.3</v>
      </c>
    </row>
    <row r="929">
      <c r="A929" s="12" t="inlineStr">
        <is>
          <t>USR-100928</t>
        </is>
      </c>
      <c r="B929" s="29" t="n">
        <v>45718</v>
      </c>
      <c r="C929" s="12" t="inlineStr">
        <is>
          <t>Treatment</t>
        </is>
      </c>
      <c r="D929" s="12" t="inlineStr">
        <is>
          <t>North</t>
        </is>
      </c>
      <c r="E929" s="12" t="inlineStr">
        <is>
          <t>Desktop</t>
        </is>
      </c>
      <c r="F929" s="12" t="inlineStr">
        <is>
          <t>Organic</t>
        </is>
      </c>
      <c r="G929" s="12" t="inlineStr">
        <is>
          <t>Free</t>
        </is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/>
      <c r="P929" s="12" t="n">
        <v>49.1</v>
      </c>
    </row>
    <row r="930">
      <c r="A930" s="12" t="inlineStr">
        <is>
          <t>USR-100929</t>
        </is>
      </c>
      <c r="B930" s="29" t="n">
        <v>45662</v>
      </c>
      <c r="C930" s="12" t="inlineStr">
        <is>
          <t>Treatment</t>
        </is>
      </c>
      <c r="D930" s="12" t="inlineStr">
        <is>
          <t>South</t>
        </is>
      </c>
      <c r="E930" s="12" t="inlineStr">
        <is>
          <t>Desktop</t>
        </is>
      </c>
      <c r="F930" s="12" t="inlineStr">
        <is>
          <t>Referral</t>
        </is>
      </c>
      <c r="G930" s="12" t="inlineStr">
        <is>
          <t>Basic</t>
        </is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/>
      <c r="P930" s="12" t="n">
        <v>45.3</v>
      </c>
    </row>
    <row r="931">
      <c r="A931" s="12" t="inlineStr">
        <is>
          <t>USR-100930</t>
        </is>
      </c>
      <c r="B931" s="29" t="n">
        <v>45719</v>
      </c>
      <c r="C931" s="12" t="inlineStr">
        <is>
          <t>Treatment</t>
        </is>
      </c>
      <c r="D931" s="12" t="inlineStr">
        <is>
          <t>South</t>
        </is>
      </c>
      <c r="E931" s="12" t="inlineStr">
        <is>
          <t>Mobile</t>
        </is>
      </c>
      <c r="F931" s="12" t="inlineStr">
        <is>
          <t>Organic</t>
        </is>
      </c>
      <c r="G931" s="12" t="inlineStr">
        <is>
          <t>Free</t>
        </is>
      </c>
      <c r="H931" s="12" t="n">
        <v>1</v>
      </c>
      <c r="I931" s="12" t="n">
        <v>1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/>
      <c r="P931" s="12" t="n">
        <v>49.1</v>
      </c>
    </row>
    <row r="932">
      <c r="A932" s="12" t="inlineStr">
        <is>
          <t>USR-100931</t>
        </is>
      </c>
      <c r="B932" s="29" t="n">
        <v>45747</v>
      </c>
      <c r="C932" s="12" t="inlineStr">
        <is>
          <t>Treatment</t>
        </is>
      </c>
      <c r="D932" s="12" t="inlineStr">
        <is>
          <t>East</t>
        </is>
      </c>
      <c r="E932" s="12" t="inlineStr">
        <is>
          <t>Desktop</t>
        </is>
      </c>
      <c r="F932" s="12" t="inlineStr">
        <is>
          <t>Referral</t>
        </is>
      </c>
      <c r="G932" s="12" t="inlineStr">
        <is>
          <t>Free</t>
        </is>
      </c>
      <c r="H932" s="12" t="n">
        <v>1</v>
      </c>
      <c r="I932" s="12" t="n">
        <v>1</v>
      </c>
      <c r="J932" s="12" t="n">
        <v>1</v>
      </c>
      <c r="K932" s="12" t="n">
        <v>1</v>
      </c>
      <c r="L932" s="12" t="n">
        <v>476.44</v>
      </c>
      <c r="M932" s="12" t="n">
        <v>0</v>
      </c>
      <c r="N932" s="12" t="n">
        <v>0</v>
      </c>
      <c r="O932" s="12" t="n">
        <v>3</v>
      </c>
      <c r="P932" s="12" t="n">
        <v>88.59999999999999</v>
      </c>
    </row>
    <row r="933">
      <c r="A933" s="12" t="inlineStr">
        <is>
          <t>USR-100932</t>
        </is>
      </c>
      <c r="B933" s="29" t="n">
        <v>45671</v>
      </c>
      <c r="C933" s="12" t="inlineStr">
        <is>
          <t>Treatment</t>
        </is>
      </c>
      <c r="D933" s="12" t="inlineStr">
        <is>
          <t>East</t>
        </is>
      </c>
      <c r="E933" s="12" t="inlineStr">
        <is>
          <t>Desktop</t>
        </is>
      </c>
      <c r="F933" s="12" t="inlineStr">
        <is>
          <t>Paid Search</t>
        </is>
      </c>
      <c r="G933" s="12" t="inlineStr">
        <is>
          <t>Premium</t>
        </is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1</v>
      </c>
      <c r="N933" s="12" t="n">
        <v>0</v>
      </c>
      <c r="O933" s="12" t="n"/>
      <c r="P933" s="12" t="n">
        <v>54.4</v>
      </c>
    </row>
    <row r="934">
      <c r="A934" s="12" t="inlineStr">
        <is>
          <t>USR-100933</t>
        </is>
      </c>
      <c r="B934" s="29" t="n">
        <v>45672</v>
      </c>
      <c r="C934" s="12" t="inlineStr">
        <is>
          <t>Treatment</t>
        </is>
      </c>
      <c r="D934" s="12" t="inlineStr">
        <is>
          <t>West</t>
        </is>
      </c>
      <c r="E934" s="12" t="inlineStr">
        <is>
          <t>Desktop</t>
        </is>
      </c>
      <c r="F934" s="12" t="inlineStr">
        <is>
          <t>Paid Search</t>
        </is>
      </c>
      <c r="G934" s="12" t="inlineStr">
        <is>
          <t>Premium</t>
        </is>
      </c>
      <c r="H934" s="12" t="n">
        <v>1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/>
      <c r="P934" s="12" t="n">
        <v>72.90000000000001</v>
      </c>
    </row>
    <row r="935">
      <c r="A935" s="12" t="inlineStr">
        <is>
          <t>USR-100934</t>
        </is>
      </c>
      <c r="B935" s="29" t="n">
        <v>45772</v>
      </c>
      <c r="C935" s="12" t="inlineStr">
        <is>
          <t>Treatment</t>
        </is>
      </c>
      <c r="D935" s="12" t="inlineStr">
        <is>
          <t>West</t>
        </is>
      </c>
      <c r="E935" s="12" t="inlineStr">
        <is>
          <t>Desktop</t>
        </is>
      </c>
      <c r="F935" s="12" t="inlineStr">
        <is>
          <t>Organic</t>
        </is>
      </c>
      <c r="G935" s="12" t="inlineStr">
        <is>
          <t>Free</t>
        </is>
      </c>
      <c r="H935" s="12" t="n">
        <v>1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/>
      <c r="P935" s="12" t="n">
        <v>53.2</v>
      </c>
    </row>
    <row r="936">
      <c r="A936" s="12" t="inlineStr">
        <is>
          <t>USR-100935</t>
        </is>
      </c>
      <c r="B936" s="29" t="n">
        <v>45737</v>
      </c>
      <c r="C936" s="12" t="inlineStr">
        <is>
          <t>Treatment</t>
        </is>
      </c>
      <c r="D936" s="12" t="inlineStr">
        <is>
          <t>East</t>
        </is>
      </c>
      <c r="E936" s="12" t="inlineStr">
        <is>
          <t>Mobile</t>
        </is>
      </c>
      <c r="F936" s="12" t="inlineStr">
        <is>
          <t>Organic</t>
        </is>
      </c>
      <c r="G936" s="12" t="inlineStr">
        <is>
          <t>Basic</t>
        </is>
      </c>
      <c r="H936" s="12" t="n">
        <v>1</v>
      </c>
      <c r="I936" s="12" t="n">
        <v>1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/>
      <c r="P936" s="12" t="n">
        <v>48.7</v>
      </c>
    </row>
    <row r="937">
      <c r="A937" s="12" t="inlineStr">
        <is>
          <t>USR-100936</t>
        </is>
      </c>
      <c r="B937" s="29" t="n">
        <v>45773</v>
      </c>
      <c r="C937" s="12" t="inlineStr">
        <is>
          <t>Treatment</t>
        </is>
      </c>
      <c r="D937" s="12" t="inlineStr">
        <is>
          <t>South</t>
        </is>
      </c>
      <c r="E937" s="12" t="inlineStr">
        <is>
          <t>Mobile</t>
        </is>
      </c>
      <c r="F937" s="12" t="inlineStr">
        <is>
          <t>Paid Search</t>
        </is>
      </c>
      <c r="G937" s="12" t="inlineStr">
        <is>
          <t>Basic</t>
        </is>
      </c>
      <c r="H937" s="12" t="n">
        <v>1</v>
      </c>
      <c r="I937" s="12" t="n">
        <v>1</v>
      </c>
      <c r="J937" s="12" t="n">
        <v>1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/>
      <c r="P937" s="12" t="n">
        <v>59.9</v>
      </c>
    </row>
    <row r="938">
      <c r="A938" s="12" t="inlineStr">
        <is>
          <t>USR-100937</t>
        </is>
      </c>
      <c r="B938" s="29" t="n">
        <v>45798</v>
      </c>
      <c r="C938" s="12" t="inlineStr">
        <is>
          <t>Treatment</t>
        </is>
      </c>
      <c r="D938" s="12" t="inlineStr">
        <is>
          <t>South</t>
        </is>
      </c>
      <c r="E938" s="12" t="inlineStr">
        <is>
          <t>Desktop</t>
        </is>
      </c>
      <c r="F938" s="12" t="n"/>
      <c r="G938" s="12" t="inlineStr">
        <is>
          <t>Basic</t>
        </is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/>
      <c r="P938" s="12" t="n">
        <v>82</v>
      </c>
    </row>
    <row r="939">
      <c r="A939" s="12" t="inlineStr">
        <is>
          <t>USR-100938</t>
        </is>
      </c>
      <c r="B939" s="29" t="n">
        <v>45765</v>
      </c>
      <c r="C939" s="12" t="inlineStr">
        <is>
          <t>Treatment</t>
        </is>
      </c>
      <c r="D939" s="12" t="inlineStr">
        <is>
          <t>East</t>
        </is>
      </c>
      <c r="E939" s="12" t="inlineStr">
        <is>
          <t>Mobile</t>
        </is>
      </c>
      <c r="F939" s="12" t="inlineStr">
        <is>
          <t>Paid Search</t>
        </is>
      </c>
      <c r="G939" s="12" t="inlineStr">
        <is>
          <t>Free</t>
        </is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/>
      <c r="P939" s="12" t="n">
        <v>72.09999999999999</v>
      </c>
    </row>
    <row r="940">
      <c r="A940" s="12" t="inlineStr">
        <is>
          <t>USR-100939</t>
        </is>
      </c>
      <c r="B940" s="29" t="n">
        <v>45686</v>
      </c>
      <c r="C940" s="12" t="inlineStr">
        <is>
          <t>Treatment</t>
        </is>
      </c>
      <c r="D940" s="12" t="inlineStr">
        <is>
          <t>North</t>
        </is>
      </c>
      <c r="E940" s="12" t="inlineStr">
        <is>
          <t>Desktop</t>
        </is>
      </c>
      <c r="F940" s="12" t="inlineStr">
        <is>
          <t>Email</t>
        </is>
      </c>
      <c r="G940" s="12" t="inlineStr">
        <is>
          <t>Premium</t>
        </is>
      </c>
      <c r="H940" s="12" t="n">
        <v>1</v>
      </c>
      <c r="I940" s="12" t="n">
        <v>1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/>
      <c r="P940" s="12" t="n">
        <v>68.3</v>
      </c>
    </row>
    <row r="941">
      <c r="A941" s="12" t="inlineStr">
        <is>
          <t>USR-100940</t>
        </is>
      </c>
      <c r="B941" s="29" t="n">
        <v>45805</v>
      </c>
      <c r="C941" s="12" t="inlineStr">
        <is>
          <t>Treatment</t>
        </is>
      </c>
      <c r="D941" s="12" t="inlineStr">
        <is>
          <t>West</t>
        </is>
      </c>
      <c r="E941" s="12" t="inlineStr">
        <is>
          <t>Mobile</t>
        </is>
      </c>
      <c r="F941" s="12" t="inlineStr">
        <is>
          <t>Organic</t>
        </is>
      </c>
      <c r="G941" s="12" t="inlineStr">
        <is>
          <t>Premium</t>
        </is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/>
      <c r="P941" s="12" t="n">
        <v>100</v>
      </c>
    </row>
    <row r="942">
      <c r="A942" s="12" t="inlineStr">
        <is>
          <t>USR-100941</t>
        </is>
      </c>
      <c r="B942" s="29" t="n">
        <v>45672</v>
      </c>
      <c r="C942" s="12" t="inlineStr">
        <is>
          <t>Treatment</t>
        </is>
      </c>
      <c r="D942" s="12" t="inlineStr">
        <is>
          <t>East</t>
        </is>
      </c>
      <c r="E942" s="12" t="inlineStr">
        <is>
          <t>Mobile</t>
        </is>
      </c>
      <c r="F942" s="12" t="inlineStr">
        <is>
          <t>Email</t>
        </is>
      </c>
      <c r="G942" s="12" t="inlineStr">
        <is>
          <t>Free</t>
        </is>
      </c>
      <c r="H942" s="12" t="n">
        <v>1</v>
      </c>
      <c r="I942" s="12" t="n">
        <v>1</v>
      </c>
      <c r="J942" s="12" t="n">
        <v>1</v>
      </c>
      <c r="K942" s="12" t="n">
        <v>0</v>
      </c>
      <c r="L942" s="12" t="n">
        <v>0</v>
      </c>
      <c r="M942" s="12" t="n">
        <v>2</v>
      </c>
      <c r="N942" s="12" t="n">
        <v>0</v>
      </c>
      <c r="O942" s="12" t="n"/>
      <c r="P942" s="12" t="n">
        <v>76.5</v>
      </c>
    </row>
    <row r="943">
      <c r="A943" s="12" t="inlineStr">
        <is>
          <t>USR-100942</t>
        </is>
      </c>
      <c r="B943" s="29" t="n">
        <v>45660</v>
      </c>
      <c r="C943" s="12" t="inlineStr">
        <is>
          <t>Treatment</t>
        </is>
      </c>
      <c r="D943" s="12" t="inlineStr">
        <is>
          <t>South</t>
        </is>
      </c>
      <c r="E943" s="12" t="inlineStr">
        <is>
          <t>Mobile</t>
        </is>
      </c>
      <c r="F943" s="12" t="inlineStr">
        <is>
          <t>Organic</t>
        </is>
      </c>
      <c r="G943" s="12" t="inlineStr">
        <is>
          <t>Basic</t>
        </is>
      </c>
      <c r="H943" s="12" t="n">
        <v>1</v>
      </c>
      <c r="I943" s="12" t="n">
        <v>1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/>
      <c r="P943" s="12" t="n">
        <v>62</v>
      </c>
    </row>
    <row r="944">
      <c r="A944" s="12" t="inlineStr">
        <is>
          <t>USR-100943</t>
        </is>
      </c>
      <c r="B944" s="29" t="n">
        <v>45692</v>
      </c>
      <c r="C944" s="12" t="inlineStr">
        <is>
          <t>Treatment</t>
        </is>
      </c>
      <c r="D944" s="12" t="inlineStr">
        <is>
          <t>South</t>
        </is>
      </c>
      <c r="E944" s="12" t="inlineStr">
        <is>
          <t>Mobile</t>
        </is>
      </c>
      <c r="F944" s="12" t="inlineStr">
        <is>
          <t>Paid Search</t>
        </is>
      </c>
      <c r="G944" s="12" t="inlineStr">
        <is>
          <t>Free</t>
        </is>
      </c>
      <c r="H944" s="12" t="n">
        <v>1</v>
      </c>
      <c r="I944" s="12" t="n">
        <v>1</v>
      </c>
      <c r="J944" s="12" t="n">
        <v>1</v>
      </c>
      <c r="K944" s="12" t="n">
        <v>1</v>
      </c>
      <c r="L944" s="12" t="n">
        <v>324.68</v>
      </c>
      <c r="M944" s="12" t="n">
        <v>1</v>
      </c>
      <c r="N944" s="12" t="n">
        <v>0</v>
      </c>
      <c r="O944" s="12" t="n">
        <v>7</v>
      </c>
      <c r="P944" s="12" t="n">
        <v>50.1</v>
      </c>
    </row>
    <row r="945">
      <c r="A945" s="12" t="inlineStr">
        <is>
          <t>USR-100944</t>
        </is>
      </c>
      <c r="B945" s="29" t="n">
        <v>45710</v>
      </c>
      <c r="C945" s="12" t="inlineStr">
        <is>
          <t>Treatment</t>
        </is>
      </c>
      <c r="D945" s="12" t="inlineStr">
        <is>
          <t>South</t>
        </is>
      </c>
      <c r="E945" s="12" t="inlineStr">
        <is>
          <t>Mobile</t>
        </is>
      </c>
      <c r="F945" s="12" t="inlineStr">
        <is>
          <t>Referral</t>
        </is>
      </c>
      <c r="G945" s="12" t="inlineStr">
        <is>
          <t>Premium</t>
        </is>
      </c>
      <c r="H945" s="12" t="n">
        <v>1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/>
      <c r="P945" s="12" t="n">
        <v>62.1</v>
      </c>
    </row>
    <row r="946">
      <c r="A946" s="12" t="inlineStr">
        <is>
          <t>USR-100945</t>
        </is>
      </c>
      <c r="B946" s="29" t="n">
        <v>45783</v>
      </c>
      <c r="C946" s="12" t="inlineStr">
        <is>
          <t>Treatment</t>
        </is>
      </c>
      <c r="D946" s="12" t="inlineStr">
        <is>
          <t>West</t>
        </is>
      </c>
      <c r="E946" s="12" t="inlineStr">
        <is>
          <t>Mobile</t>
        </is>
      </c>
      <c r="F946" s="12" t="inlineStr">
        <is>
          <t>Organic</t>
        </is>
      </c>
      <c r="G946" s="12" t="inlineStr">
        <is>
          <t>Basic</t>
        </is>
      </c>
      <c r="H946" s="12" t="n">
        <v>1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/>
      <c r="P946" s="12" t="n">
        <v>49.7</v>
      </c>
    </row>
    <row r="947">
      <c r="A947" s="12" t="inlineStr">
        <is>
          <t>USR-100946</t>
        </is>
      </c>
      <c r="B947" s="29" t="n">
        <v>45688</v>
      </c>
      <c r="C947" s="12" t="inlineStr">
        <is>
          <t>Treatment</t>
        </is>
      </c>
      <c r="D947" s="12" t="inlineStr">
        <is>
          <t>South</t>
        </is>
      </c>
      <c r="E947" s="12" t="inlineStr">
        <is>
          <t>Mobile</t>
        </is>
      </c>
      <c r="F947" s="12" t="inlineStr">
        <is>
          <t>Organic</t>
        </is>
      </c>
      <c r="G947" s="12" t="inlineStr">
        <is>
          <t>Free</t>
        </is>
      </c>
      <c r="H947" s="12" t="n">
        <v>1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3</v>
      </c>
      <c r="N947" s="12" t="n">
        <v>0</v>
      </c>
      <c r="O947" s="12" t="n"/>
      <c r="P947" s="12" t="n">
        <v>71.09999999999999</v>
      </c>
    </row>
    <row r="948">
      <c r="A948" s="12" t="inlineStr">
        <is>
          <t>USR-100947</t>
        </is>
      </c>
      <c r="B948" s="29" t="n">
        <v>45706</v>
      </c>
      <c r="C948" s="12" t="inlineStr">
        <is>
          <t>Treatment</t>
        </is>
      </c>
      <c r="D948" s="12" t="inlineStr">
        <is>
          <t>North</t>
        </is>
      </c>
      <c r="E948" s="12" t="inlineStr">
        <is>
          <t>Mobile</t>
        </is>
      </c>
      <c r="F948" s="12" t="inlineStr">
        <is>
          <t>Social</t>
        </is>
      </c>
      <c r="G948" s="12" t="inlineStr">
        <is>
          <t>Basic</t>
        </is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/>
      <c r="P948" s="12" t="n">
        <v>70.8</v>
      </c>
    </row>
    <row r="949">
      <c r="A949" s="12" t="inlineStr">
        <is>
          <t>USR-100948</t>
        </is>
      </c>
      <c r="B949" s="29" t="n">
        <v>45770</v>
      </c>
      <c r="C949" s="12" t="inlineStr">
        <is>
          <t>Treatment</t>
        </is>
      </c>
      <c r="D949" s="12" t="inlineStr">
        <is>
          <t>East</t>
        </is>
      </c>
      <c r="E949" s="12" t="inlineStr">
        <is>
          <t>Mobile</t>
        </is>
      </c>
      <c r="F949" s="12" t="inlineStr">
        <is>
          <t>Paid Search</t>
        </is>
      </c>
      <c r="G949" s="12" t="inlineStr">
        <is>
          <t>Free</t>
        </is>
      </c>
      <c r="H949" s="12" t="n">
        <v>1</v>
      </c>
      <c r="I949" s="12" t="n">
        <v>1</v>
      </c>
      <c r="J949" s="12" t="n">
        <v>1</v>
      </c>
      <c r="K949" s="12" t="n">
        <v>1</v>
      </c>
      <c r="L949" s="12" t="n">
        <v>301.98</v>
      </c>
      <c r="M949" s="12" t="n">
        <v>0</v>
      </c>
      <c r="N949" s="12" t="n">
        <v>0</v>
      </c>
      <c r="O949" s="12" t="n">
        <v>10</v>
      </c>
      <c r="P949" s="12" t="n">
        <v>52.2</v>
      </c>
    </row>
    <row r="950">
      <c r="A950" s="12" t="inlineStr">
        <is>
          <t>USR-100949</t>
        </is>
      </c>
      <c r="B950" s="29" t="n">
        <v>45694</v>
      </c>
      <c r="C950" s="12" t="inlineStr">
        <is>
          <t>Treatment</t>
        </is>
      </c>
      <c r="D950" s="12" t="inlineStr">
        <is>
          <t>North</t>
        </is>
      </c>
      <c r="E950" s="12" t="inlineStr">
        <is>
          <t>Mobile</t>
        </is>
      </c>
      <c r="F950" s="12" t="inlineStr">
        <is>
          <t>Organic</t>
        </is>
      </c>
      <c r="G950" s="12" t="inlineStr">
        <is>
          <t>Free</t>
        </is>
      </c>
      <c r="H950" s="12" t="n">
        <v>1</v>
      </c>
      <c r="I950" s="12" t="n">
        <v>1</v>
      </c>
      <c r="J950" s="12" t="n">
        <v>1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/>
      <c r="P950" s="12" t="n">
        <v>73</v>
      </c>
    </row>
    <row r="951">
      <c r="A951" s="12" t="inlineStr">
        <is>
          <t>USR-100950</t>
        </is>
      </c>
      <c r="B951" s="29" t="n">
        <v>45773</v>
      </c>
      <c r="C951" s="12" t="inlineStr">
        <is>
          <t>Treatment</t>
        </is>
      </c>
      <c r="D951" s="12" t="inlineStr">
        <is>
          <t>South</t>
        </is>
      </c>
      <c r="E951" s="12" t="inlineStr">
        <is>
          <t>Desktop</t>
        </is>
      </c>
      <c r="F951" s="12" t="inlineStr">
        <is>
          <t>Paid Search</t>
        </is>
      </c>
      <c r="G951" s="12" t="inlineStr">
        <is>
          <t>Free</t>
        </is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/>
      <c r="P951" s="12" t="n">
        <v>78.2</v>
      </c>
    </row>
    <row r="952">
      <c r="A952" s="12" t="inlineStr">
        <is>
          <t>USR-100951</t>
        </is>
      </c>
      <c r="B952" s="29" t="n">
        <v>45746</v>
      </c>
      <c r="C952" s="12" t="inlineStr">
        <is>
          <t>Treatment</t>
        </is>
      </c>
      <c r="D952" s="12" t="inlineStr">
        <is>
          <t>West</t>
        </is>
      </c>
      <c r="E952" s="12" t="inlineStr">
        <is>
          <t>Desktop</t>
        </is>
      </c>
      <c r="F952" s="12" t="inlineStr">
        <is>
          <t>Paid Search</t>
        </is>
      </c>
      <c r="G952" s="12" t="inlineStr">
        <is>
          <t>Basic</t>
        </is>
      </c>
      <c r="H952" s="12" t="n">
        <v>1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/>
      <c r="P952" s="12" t="n">
        <v>68.8</v>
      </c>
    </row>
    <row r="953">
      <c r="A953" s="12" t="inlineStr">
        <is>
          <t>USR-100952</t>
        </is>
      </c>
      <c r="B953" s="29" t="n">
        <v>45760</v>
      </c>
      <c r="C953" s="12" t="inlineStr">
        <is>
          <t>Treatment</t>
        </is>
      </c>
      <c r="D953" s="12" t="inlineStr">
        <is>
          <t>West</t>
        </is>
      </c>
      <c r="E953" s="12" t="inlineStr">
        <is>
          <t>Mobile</t>
        </is>
      </c>
      <c r="F953" s="12" t="n"/>
      <c r="G953" s="12" t="inlineStr">
        <is>
          <t>Premium</t>
        </is>
      </c>
      <c r="H953" s="12" t="n">
        <v>1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/>
      <c r="P953" s="12" t="n">
        <v>57.1</v>
      </c>
    </row>
    <row r="954">
      <c r="A954" s="12" t="inlineStr">
        <is>
          <t>USR-100953</t>
        </is>
      </c>
      <c r="B954" s="29" t="n">
        <v>45751</v>
      </c>
      <c r="C954" s="12" t="inlineStr">
        <is>
          <t>Treatment</t>
        </is>
      </c>
      <c r="D954" s="12" t="inlineStr">
        <is>
          <t>East</t>
        </is>
      </c>
      <c r="E954" s="12" t="inlineStr">
        <is>
          <t>Desktop</t>
        </is>
      </c>
      <c r="F954" s="12" t="inlineStr">
        <is>
          <t>Organic</t>
        </is>
      </c>
      <c r="G954" s="12" t="inlineStr">
        <is>
          <t>Premium</t>
        </is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1</v>
      </c>
      <c r="N954" s="12" t="n">
        <v>0</v>
      </c>
      <c r="O954" s="12" t="n"/>
      <c r="P954" s="12" t="n">
        <v>74.59999999999999</v>
      </c>
    </row>
    <row r="955">
      <c r="A955" s="12" t="inlineStr">
        <is>
          <t>USR-100954</t>
        </is>
      </c>
      <c r="B955" s="29" t="n">
        <v>45750</v>
      </c>
      <c r="C955" s="12" t="inlineStr">
        <is>
          <t>Treatment</t>
        </is>
      </c>
      <c r="D955" s="12" t="inlineStr">
        <is>
          <t>North</t>
        </is>
      </c>
      <c r="E955" s="12" t="inlineStr">
        <is>
          <t>Desktop</t>
        </is>
      </c>
      <c r="F955" s="12" t="inlineStr">
        <is>
          <t>Referral</t>
        </is>
      </c>
      <c r="G955" s="12" t="inlineStr">
        <is>
          <t>Free</t>
        </is>
      </c>
      <c r="H955" s="12" t="n">
        <v>1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1</v>
      </c>
      <c r="N955" s="12" t="n">
        <v>0</v>
      </c>
      <c r="O955" s="12" t="n"/>
      <c r="P955" s="12" t="n">
        <v>64.09999999999999</v>
      </c>
    </row>
    <row r="956">
      <c r="A956" s="12" t="inlineStr">
        <is>
          <t>USR-100955</t>
        </is>
      </c>
      <c r="B956" s="29" t="n">
        <v>45730</v>
      </c>
      <c r="C956" s="12" t="inlineStr">
        <is>
          <t>Treatment</t>
        </is>
      </c>
      <c r="D956" s="12" t="inlineStr">
        <is>
          <t>West</t>
        </is>
      </c>
      <c r="E956" s="12" t="inlineStr">
        <is>
          <t>Mobile</t>
        </is>
      </c>
      <c r="F956" s="12" t="inlineStr">
        <is>
          <t>Paid Search</t>
        </is>
      </c>
      <c r="G956" s="12" t="inlineStr">
        <is>
          <t>Premium</t>
        </is>
      </c>
      <c r="H956" s="12" t="n">
        <v>1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/>
      <c r="P956" s="12" t="n">
        <v>67.3</v>
      </c>
    </row>
    <row r="957">
      <c r="A957" s="12" t="inlineStr">
        <is>
          <t>USR-100956</t>
        </is>
      </c>
      <c r="B957" s="29" t="n">
        <v>45671</v>
      </c>
      <c r="C957" s="12" t="inlineStr">
        <is>
          <t>Treatment</t>
        </is>
      </c>
      <c r="D957" s="12" t="inlineStr">
        <is>
          <t>West</t>
        </is>
      </c>
      <c r="E957" s="12" t="inlineStr">
        <is>
          <t>Mobile</t>
        </is>
      </c>
      <c r="F957" s="12" t="inlineStr">
        <is>
          <t>Referral</t>
        </is>
      </c>
      <c r="G957" s="12" t="inlineStr">
        <is>
          <t>Free</t>
        </is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2</v>
      </c>
      <c r="N957" s="12" t="n">
        <v>0</v>
      </c>
      <c r="O957" s="12" t="n"/>
      <c r="P957" s="12" t="n">
        <v>41</v>
      </c>
    </row>
    <row r="958">
      <c r="A958" s="12" t="inlineStr">
        <is>
          <t>USR-100957</t>
        </is>
      </c>
      <c r="B958" s="29" t="n">
        <v>45782</v>
      </c>
      <c r="C958" s="12" t="inlineStr">
        <is>
          <t>Treatment</t>
        </is>
      </c>
      <c r="D958" s="12" t="inlineStr">
        <is>
          <t>West</t>
        </is>
      </c>
      <c r="E958" s="12" t="inlineStr">
        <is>
          <t>Mobile</t>
        </is>
      </c>
      <c r="F958" s="12" t="inlineStr">
        <is>
          <t>Paid Search</t>
        </is>
      </c>
      <c r="G958" s="12" t="inlineStr">
        <is>
          <t>Free</t>
        </is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/>
      <c r="P958" s="12" t="n">
        <v>48.1</v>
      </c>
    </row>
    <row r="959">
      <c r="A959" s="12" t="inlineStr">
        <is>
          <t>USR-100958</t>
        </is>
      </c>
      <c r="B959" s="29" t="n">
        <v>45779</v>
      </c>
      <c r="C959" s="12" t="inlineStr">
        <is>
          <t>Treatment</t>
        </is>
      </c>
      <c r="D959" s="12" t="inlineStr">
        <is>
          <t>West</t>
        </is>
      </c>
      <c r="E959" s="12" t="inlineStr">
        <is>
          <t>Desktop</t>
        </is>
      </c>
      <c r="F959" s="12" t="inlineStr">
        <is>
          <t>Social</t>
        </is>
      </c>
      <c r="G959" s="12" t="inlineStr">
        <is>
          <t>Free</t>
        </is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1</v>
      </c>
      <c r="N959" s="12" t="n">
        <v>0</v>
      </c>
      <c r="O959" s="12" t="n"/>
      <c r="P959" s="12" t="n">
        <v>60.8</v>
      </c>
    </row>
    <row r="960">
      <c r="A960" s="12" t="inlineStr">
        <is>
          <t>USR-100959</t>
        </is>
      </c>
      <c r="B960" s="29" t="n">
        <v>45798</v>
      </c>
      <c r="C960" s="12" t="inlineStr">
        <is>
          <t>Treatment</t>
        </is>
      </c>
      <c r="D960" s="12" t="inlineStr">
        <is>
          <t>East</t>
        </is>
      </c>
      <c r="E960" s="12" t="inlineStr">
        <is>
          <t>Mobile</t>
        </is>
      </c>
      <c r="F960" s="12" t="inlineStr">
        <is>
          <t>Organic</t>
        </is>
      </c>
      <c r="G960" s="12" t="inlineStr">
        <is>
          <t>Free</t>
        </is>
      </c>
      <c r="H960" s="12" t="n">
        <v>1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/>
      <c r="P960" s="12" t="n">
        <v>63.1</v>
      </c>
    </row>
    <row r="961">
      <c r="A961" s="12" t="inlineStr">
        <is>
          <t>USR-100960</t>
        </is>
      </c>
      <c r="B961" s="29" t="n">
        <v>45793</v>
      </c>
      <c r="C961" s="12" t="inlineStr">
        <is>
          <t>Treatment</t>
        </is>
      </c>
      <c r="D961" s="12" t="inlineStr">
        <is>
          <t>North</t>
        </is>
      </c>
      <c r="E961" s="12" t="inlineStr">
        <is>
          <t>Mobile</t>
        </is>
      </c>
      <c r="F961" s="12" t="inlineStr">
        <is>
          <t>Referral</t>
        </is>
      </c>
      <c r="G961" s="12" t="inlineStr">
        <is>
          <t>Premium</t>
        </is>
      </c>
      <c r="H961" s="12" t="n">
        <v>1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2</v>
      </c>
      <c r="N961" s="12" t="n">
        <v>0</v>
      </c>
      <c r="O961" s="12" t="n"/>
      <c r="P961" s="12" t="n">
        <v>49.7</v>
      </c>
    </row>
    <row r="962">
      <c r="A962" s="12" t="inlineStr">
        <is>
          <t>USR-100961</t>
        </is>
      </c>
      <c r="B962" s="29" t="n">
        <v>45801</v>
      </c>
      <c r="C962" s="12" t="inlineStr">
        <is>
          <t>Treatment</t>
        </is>
      </c>
      <c r="D962" s="12" t="inlineStr">
        <is>
          <t>East</t>
        </is>
      </c>
      <c r="E962" s="12" t="inlineStr">
        <is>
          <t>Desktop</t>
        </is>
      </c>
      <c r="F962" s="12" t="inlineStr">
        <is>
          <t>Organic</t>
        </is>
      </c>
      <c r="G962" s="12" t="inlineStr">
        <is>
          <t>Premium</t>
        </is>
      </c>
      <c r="H962" s="12" t="n">
        <v>1</v>
      </c>
      <c r="I962" s="12" t="n">
        <v>1</v>
      </c>
      <c r="J962" s="12" t="n">
        <v>1</v>
      </c>
      <c r="K962" s="12" t="n">
        <v>0</v>
      </c>
      <c r="L962" s="12" t="n">
        <v>0</v>
      </c>
      <c r="M962" s="12" t="n">
        <v>1</v>
      </c>
      <c r="N962" s="12" t="n">
        <v>0</v>
      </c>
      <c r="O962" s="12" t="n"/>
      <c r="P962" s="12" t="n">
        <v>83.40000000000001</v>
      </c>
    </row>
    <row r="963">
      <c r="A963" s="12" t="inlineStr">
        <is>
          <t>USR-100962</t>
        </is>
      </c>
      <c r="B963" s="29" t="n">
        <v>45734</v>
      </c>
      <c r="C963" s="12" t="inlineStr">
        <is>
          <t>Treatment</t>
        </is>
      </c>
      <c r="D963" s="12" t="inlineStr">
        <is>
          <t>East</t>
        </is>
      </c>
      <c r="E963" s="12" t="inlineStr">
        <is>
          <t>Mobile</t>
        </is>
      </c>
      <c r="F963" s="12" t="inlineStr">
        <is>
          <t>Organic</t>
        </is>
      </c>
      <c r="G963" s="12" t="inlineStr">
        <is>
          <t>Basic</t>
        </is>
      </c>
      <c r="H963" s="12" t="n">
        <v>1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/>
      <c r="P963" s="12" t="n">
        <v>75.90000000000001</v>
      </c>
    </row>
    <row r="964">
      <c r="A964" s="12" t="inlineStr">
        <is>
          <t>USR-100963</t>
        </is>
      </c>
      <c r="B964" s="29" t="n">
        <v>45668</v>
      </c>
      <c r="C964" s="12" t="inlineStr">
        <is>
          <t>Treatment</t>
        </is>
      </c>
      <c r="D964" s="12" t="inlineStr">
        <is>
          <t>East</t>
        </is>
      </c>
      <c r="E964" s="12" t="inlineStr">
        <is>
          <t>Desktop</t>
        </is>
      </c>
      <c r="F964" s="12" t="inlineStr">
        <is>
          <t>Paid Search</t>
        </is>
      </c>
      <c r="G964" s="12" t="inlineStr">
        <is>
          <t>Free</t>
        </is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1</v>
      </c>
      <c r="N964" s="12" t="n">
        <v>0</v>
      </c>
      <c r="O964" s="12" t="n"/>
      <c r="P964" s="12" t="n">
        <v>71.8</v>
      </c>
    </row>
    <row r="965">
      <c r="A965" s="12" t="inlineStr">
        <is>
          <t>USR-100964</t>
        </is>
      </c>
      <c r="B965" s="29" t="n">
        <v>45697</v>
      </c>
      <c r="C965" s="12" t="inlineStr">
        <is>
          <t>Treatment</t>
        </is>
      </c>
      <c r="D965" s="12" t="inlineStr">
        <is>
          <t>South</t>
        </is>
      </c>
      <c r="E965" s="12" t="inlineStr">
        <is>
          <t>Mobile</t>
        </is>
      </c>
      <c r="F965" s="12" t="inlineStr">
        <is>
          <t>Organic</t>
        </is>
      </c>
      <c r="G965" s="12" t="inlineStr">
        <is>
          <t>Basic</t>
        </is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/>
      <c r="P965" s="12" t="n">
        <v>37.9</v>
      </c>
    </row>
    <row r="966">
      <c r="A966" s="12" t="inlineStr">
        <is>
          <t>USR-100965</t>
        </is>
      </c>
      <c r="B966" s="29" t="n">
        <v>45717</v>
      </c>
      <c r="C966" s="12" t="inlineStr">
        <is>
          <t>Treatment</t>
        </is>
      </c>
      <c r="D966" s="12" t="inlineStr">
        <is>
          <t>North</t>
        </is>
      </c>
      <c r="E966" s="12" t="inlineStr">
        <is>
          <t>Desktop</t>
        </is>
      </c>
      <c r="F966" s="12" t="inlineStr">
        <is>
          <t>Social</t>
        </is>
      </c>
      <c r="G966" s="12" t="inlineStr">
        <is>
          <t>Free</t>
        </is>
      </c>
      <c r="H966" s="12" t="n">
        <v>1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/>
      <c r="P966" s="12" t="n">
        <v>59.8</v>
      </c>
    </row>
    <row r="967">
      <c r="A967" s="12" t="inlineStr">
        <is>
          <t>USR-100966</t>
        </is>
      </c>
      <c r="B967" s="29" t="n">
        <v>45784</v>
      </c>
      <c r="C967" s="12" t="inlineStr">
        <is>
          <t>Treatment</t>
        </is>
      </c>
      <c r="D967" s="12" t="inlineStr">
        <is>
          <t>North</t>
        </is>
      </c>
      <c r="E967" s="12" t="inlineStr">
        <is>
          <t>Mobile</t>
        </is>
      </c>
      <c r="F967" s="12" t="inlineStr">
        <is>
          <t>Organic</t>
        </is>
      </c>
      <c r="G967" s="12" t="inlineStr">
        <is>
          <t>Basic</t>
        </is>
      </c>
      <c r="H967" s="12" t="n">
        <v>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/>
      <c r="P967" s="12" t="n">
        <v>66.90000000000001</v>
      </c>
    </row>
    <row r="968">
      <c r="A968" s="12" t="inlineStr">
        <is>
          <t>USR-100967</t>
        </is>
      </c>
      <c r="B968" s="29" t="n">
        <v>45707</v>
      </c>
      <c r="C968" s="12" t="inlineStr">
        <is>
          <t>Treatment</t>
        </is>
      </c>
      <c r="D968" s="12" t="inlineStr">
        <is>
          <t>South</t>
        </is>
      </c>
      <c r="E968" s="12" t="inlineStr">
        <is>
          <t>Desktop</t>
        </is>
      </c>
      <c r="F968" s="12" t="n"/>
      <c r="G968" s="12" t="inlineStr">
        <is>
          <t>Free</t>
        </is>
      </c>
      <c r="H968" s="12" t="n">
        <v>1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/>
      <c r="P968" s="12" t="n">
        <v>59</v>
      </c>
    </row>
    <row r="969">
      <c r="A969" s="12" t="inlineStr">
        <is>
          <t>USR-100968</t>
        </is>
      </c>
      <c r="B969" s="29" t="n">
        <v>45714</v>
      </c>
      <c r="C969" s="12" t="inlineStr">
        <is>
          <t>Treatment</t>
        </is>
      </c>
      <c r="D969" s="12" t="inlineStr">
        <is>
          <t>West</t>
        </is>
      </c>
      <c r="E969" s="12" t="inlineStr">
        <is>
          <t>Mobile</t>
        </is>
      </c>
      <c r="F969" s="12" t="inlineStr">
        <is>
          <t>Organic</t>
        </is>
      </c>
      <c r="G969" s="12" t="inlineStr">
        <is>
          <t>Premium</t>
        </is>
      </c>
      <c r="H969" s="12" t="n">
        <v>1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/>
      <c r="P969" s="12" t="n">
        <v>80.09999999999999</v>
      </c>
    </row>
    <row r="970">
      <c r="A970" s="12" t="inlineStr">
        <is>
          <t>USR-100969</t>
        </is>
      </c>
      <c r="B970" s="29" t="n">
        <v>45739</v>
      </c>
      <c r="C970" s="12" t="inlineStr">
        <is>
          <t>Treatment</t>
        </is>
      </c>
      <c r="D970" s="12" t="inlineStr">
        <is>
          <t>South</t>
        </is>
      </c>
      <c r="E970" s="12" t="inlineStr">
        <is>
          <t>Mobile</t>
        </is>
      </c>
      <c r="F970" s="12" t="inlineStr">
        <is>
          <t>Social</t>
        </is>
      </c>
      <c r="G970" s="12" t="inlineStr">
        <is>
          <t>Free</t>
        </is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/>
      <c r="P970" s="12" t="n">
        <v>64.3</v>
      </c>
    </row>
    <row r="971">
      <c r="A971" s="12" t="inlineStr">
        <is>
          <t>USR-100970</t>
        </is>
      </c>
      <c r="B971" s="29" t="n">
        <v>45772</v>
      </c>
      <c r="C971" s="12" t="inlineStr">
        <is>
          <t>Treatment</t>
        </is>
      </c>
      <c r="D971" s="12" t="inlineStr">
        <is>
          <t>South</t>
        </is>
      </c>
      <c r="E971" s="12" t="inlineStr">
        <is>
          <t>Desktop</t>
        </is>
      </c>
      <c r="F971" s="12" t="inlineStr">
        <is>
          <t>Social</t>
        </is>
      </c>
      <c r="G971" s="12" t="inlineStr">
        <is>
          <t>Free</t>
        </is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1</v>
      </c>
      <c r="N971" s="12" t="n">
        <v>0</v>
      </c>
      <c r="O971" s="12" t="n"/>
      <c r="P971" s="12" t="n">
        <v>57.4</v>
      </c>
    </row>
    <row r="972">
      <c r="A972" s="12" t="inlineStr">
        <is>
          <t>USR-100971</t>
        </is>
      </c>
      <c r="B972" s="29" t="n">
        <v>45787</v>
      </c>
      <c r="C972" s="12" t="inlineStr">
        <is>
          <t>Treatment</t>
        </is>
      </c>
      <c r="D972" s="12" t="inlineStr">
        <is>
          <t>North</t>
        </is>
      </c>
      <c r="E972" s="12" t="inlineStr">
        <is>
          <t>Desktop</t>
        </is>
      </c>
      <c r="F972" s="12" t="inlineStr">
        <is>
          <t>Social</t>
        </is>
      </c>
      <c r="G972" s="12" t="inlineStr">
        <is>
          <t>Free</t>
        </is>
      </c>
      <c r="H972" s="12" t="n">
        <v>1</v>
      </c>
      <c r="I972" s="12" t="n">
        <v>1</v>
      </c>
      <c r="J972" s="12" t="n">
        <v>1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/>
      <c r="P972" s="12" t="n">
        <v>83.59999999999999</v>
      </c>
    </row>
    <row r="973">
      <c r="A973" s="12" t="inlineStr">
        <is>
          <t>USR-100972</t>
        </is>
      </c>
      <c r="B973" s="29" t="n">
        <v>45769</v>
      </c>
      <c r="C973" s="12" t="inlineStr">
        <is>
          <t>Treatment</t>
        </is>
      </c>
      <c r="D973" s="12" t="inlineStr">
        <is>
          <t>East</t>
        </is>
      </c>
      <c r="E973" s="12" t="inlineStr">
        <is>
          <t>Mobile</t>
        </is>
      </c>
      <c r="F973" s="12" t="inlineStr">
        <is>
          <t>Paid Search</t>
        </is>
      </c>
      <c r="G973" s="12" t="inlineStr">
        <is>
          <t>Premium</t>
        </is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/>
      <c r="P973" s="12" t="n">
        <v>45.8</v>
      </c>
    </row>
    <row r="974">
      <c r="A974" s="12" t="inlineStr">
        <is>
          <t>USR-100973</t>
        </is>
      </c>
      <c r="B974" s="29" t="n">
        <v>45706</v>
      </c>
      <c r="C974" s="12" t="inlineStr">
        <is>
          <t>Treatment</t>
        </is>
      </c>
      <c r="D974" s="12" t="inlineStr">
        <is>
          <t>West</t>
        </is>
      </c>
      <c r="E974" s="12" t="inlineStr">
        <is>
          <t>Mobile</t>
        </is>
      </c>
      <c r="F974" s="12" t="inlineStr">
        <is>
          <t>Referral</t>
        </is>
      </c>
      <c r="G974" s="12" t="inlineStr">
        <is>
          <t>Basic</t>
        </is>
      </c>
      <c r="H974" s="12" t="n">
        <v>1</v>
      </c>
      <c r="I974" s="12" t="n">
        <v>1</v>
      </c>
      <c r="J974" s="12" t="n">
        <v>1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/>
      <c r="P974" s="12" t="n">
        <v>64.3</v>
      </c>
    </row>
    <row r="975">
      <c r="A975" s="12" t="inlineStr">
        <is>
          <t>USR-100974</t>
        </is>
      </c>
      <c r="B975" s="29" t="n">
        <v>45683</v>
      </c>
      <c r="C975" s="12" t="inlineStr">
        <is>
          <t>Treatment</t>
        </is>
      </c>
      <c r="D975" s="12" t="inlineStr">
        <is>
          <t>South</t>
        </is>
      </c>
      <c r="E975" s="12" t="inlineStr">
        <is>
          <t>Mobile</t>
        </is>
      </c>
      <c r="F975" s="12" t="inlineStr">
        <is>
          <t>Paid Search</t>
        </is>
      </c>
      <c r="G975" s="12" t="inlineStr">
        <is>
          <t>Premium</t>
        </is>
      </c>
      <c r="H975" s="12" t="n">
        <v>1</v>
      </c>
      <c r="I975" s="12" t="n">
        <v>1</v>
      </c>
      <c r="J975" s="12" t="n">
        <v>1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/>
      <c r="P975" s="12" t="n">
        <v>80.5</v>
      </c>
    </row>
    <row r="976">
      <c r="A976" s="12" t="inlineStr">
        <is>
          <t>USR-100975</t>
        </is>
      </c>
      <c r="B976" s="29" t="n">
        <v>45775</v>
      </c>
      <c r="C976" s="12" t="inlineStr">
        <is>
          <t>Treatment</t>
        </is>
      </c>
      <c r="D976" s="12" t="inlineStr">
        <is>
          <t>North</t>
        </is>
      </c>
      <c r="E976" s="12" t="inlineStr">
        <is>
          <t>Mobile</t>
        </is>
      </c>
      <c r="F976" s="12" t="inlineStr">
        <is>
          <t>Organic</t>
        </is>
      </c>
      <c r="G976" s="12" t="inlineStr">
        <is>
          <t>Free</t>
        </is>
      </c>
      <c r="H976" s="12" t="n">
        <v>1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/>
      <c r="P976" s="12" t="n">
        <v>46.3</v>
      </c>
    </row>
    <row r="977">
      <c r="A977" s="12" t="inlineStr">
        <is>
          <t>USR-100976</t>
        </is>
      </c>
      <c r="B977" s="29" t="n">
        <v>45749</v>
      </c>
      <c r="C977" s="12" t="inlineStr">
        <is>
          <t>Treatment</t>
        </is>
      </c>
      <c r="D977" s="12" t="inlineStr">
        <is>
          <t>South</t>
        </is>
      </c>
      <c r="E977" s="12" t="inlineStr">
        <is>
          <t>Desktop</t>
        </is>
      </c>
      <c r="F977" s="12" t="inlineStr">
        <is>
          <t>Email</t>
        </is>
      </c>
      <c r="G977" s="12" t="inlineStr">
        <is>
          <t>Basic</t>
        </is>
      </c>
      <c r="H977" s="12" t="n">
        <v>1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/>
      <c r="P977" s="12" t="n">
        <v>71.59999999999999</v>
      </c>
    </row>
    <row r="978">
      <c r="A978" s="12" t="inlineStr">
        <is>
          <t>USR-100977</t>
        </is>
      </c>
      <c r="B978" s="29" t="n">
        <v>45759</v>
      </c>
      <c r="C978" s="12" t="inlineStr">
        <is>
          <t>Treatment</t>
        </is>
      </c>
      <c r="D978" s="12" t="inlineStr">
        <is>
          <t>South</t>
        </is>
      </c>
      <c r="E978" s="12" t="inlineStr">
        <is>
          <t>Desktop</t>
        </is>
      </c>
      <c r="F978" s="12" t="inlineStr">
        <is>
          <t>Email</t>
        </is>
      </c>
      <c r="G978" s="12" t="inlineStr">
        <is>
          <t>Premium</t>
        </is>
      </c>
      <c r="H978" s="12" t="n">
        <v>1</v>
      </c>
      <c r="I978" s="12" t="n">
        <v>1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/>
      <c r="P978" s="12" t="n">
        <v>57.8</v>
      </c>
    </row>
    <row r="979">
      <c r="A979" s="12" t="inlineStr">
        <is>
          <t>USR-100978</t>
        </is>
      </c>
      <c r="B979" s="29" t="n">
        <v>45660</v>
      </c>
      <c r="C979" s="12" t="inlineStr">
        <is>
          <t>Treatment</t>
        </is>
      </c>
      <c r="D979" s="12" t="inlineStr">
        <is>
          <t>West</t>
        </is>
      </c>
      <c r="E979" s="12" t="inlineStr">
        <is>
          <t>Desktop</t>
        </is>
      </c>
      <c r="F979" s="12" t="inlineStr">
        <is>
          <t>Email</t>
        </is>
      </c>
      <c r="G979" s="12" t="inlineStr">
        <is>
          <t>Basic</t>
        </is>
      </c>
      <c r="H979" s="12" t="n">
        <v>1</v>
      </c>
      <c r="I979" s="12" t="n">
        <v>1</v>
      </c>
      <c r="J979" s="12" t="n">
        <v>1</v>
      </c>
      <c r="K979" s="12" t="n">
        <v>0</v>
      </c>
      <c r="L979" s="12" t="n">
        <v>0</v>
      </c>
      <c r="M979" s="12" t="n">
        <v>1</v>
      </c>
      <c r="N979" s="12" t="n">
        <v>0</v>
      </c>
      <c r="O979" s="12" t="n"/>
      <c r="P979" s="12" t="n">
        <v>57.8</v>
      </c>
    </row>
    <row r="980">
      <c r="A980" s="12" t="inlineStr">
        <is>
          <t>USR-100979</t>
        </is>
      </c>
      <c r="B980" s="29" t="n">
        <v>45785</v>
      </c>
      <c r="C980" s="12" t="inlineStr">
        <is>
          <t>Treatment</t>
        </is>
      </c>
      <c r="D980" s="12" t="inlineStr">
        <is>
          <t>North</t>
        </is>
      </c>
      <c r="E980" s="12" t="inlineStr">
        <is>
          <t>Mobile</t>
        </is>
      </c>
      <c r="F980" s="12" t="inlineStr">
        <is>
          <t>Paid Search</t>
        </is>
      </c>
      <c r="G980" s="12" t="inlineStr">
        <is>
          <t>Free</t>
        </is>
      </c>
      <c r="H980" s="12" t="n">
        <v>1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/>
      <c r="P980" s="12" t="n">
        <v>38.3</v>
      </c>
    </row>
    <row r="981">
      <c r="A981" s="12" t="inlineStr">
        <is>
          <t>USR-100980</t>
        </is>
      </c>
      <c r="B981" s="29" t="n">
        <v>45708</v>
      </c>
      <c r="C981" s="12" t="inlineStr">
        <is>
          <t>Treatment</t>
        </is>
      </c>
      <c r="D981" s="12" t="inlineStr">
        <is>
          <t>North</t>
        </is>
      </c>
      <c r="E981" s="12" t="inlineStr">
        <is>
          <t>Mobile</t>
        </is>
      </c>
      <c r="F981" s="12" t="inlineStr">
        <is>
          <t>Referral</t>
        </is>
      </c>
      <c r="G981" s="12" t="inlineStr">
        <is>
          <t>Premium</t>
        </is>
      </c>
      <c r="H981" s="12" t="n">
        <v>1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1</v>
      </c>
      <c r="N981" s="12" t="n">
        <v>0</v>
      </c>
      <c r="O981" s="12" t="n"/>
      <c r="P981" s="12" t="n">
        <v>66.09999999999999</v>
      </c>
    </row>
    <row r="982">
      <c r="A982" s="12" t="inlineStr">
        <is>
          <t>USR-100981</t>
        </is>
      </c>
      <c r="B982" s="29" t="n">
        <v>45733</v>
      </c>
      <c r="C982" s="12" t="inlineStr">
        <is>
          <t>Treatment</t>
        </is>
      </c>
      <c r="D982" s="12" t="inlineStr">
        <is>
          <t>North</t>
        </is>
      </c>
      <c r="E982" s="12" t="inlineStr">
        <is>
          <t>Desktop</t>
        </is>
      </c>
      <c r="F982" s="12" t="inlineStr">
        <is>
          <t>Paid Search</t>
        </is>
      </c>
      <c r="G982" s="12" t="inlineStr">
        <is>
          <t>Premium</t>
        </is>
      </c>
      <c r="H982" s="12" t="n">
        <v>1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/>
      <c r="P982" s="12" t="n">
        <v>66.5</v>
      </c>
    </row>
    <row r="983">
      <c r="A983" s="12" t="inlineStr">
        <is>
          <t>USR-100982</t>
        </is>
      </c>
      <c r="B983" s="29" t="n">
        <v>45757</v>
      </c>
      <c r="C983" s="12" t="inlineStr">
        <is>
          <t>Treatment</t>
        </is>
      </c>
      <c r="D983" s="12" t="inlineStr">
        <is>
          <t>South</t>
        </is>
      </c>
      <c r="E983" s="12" t="inlineStr">
        <is>
          <t>Desktop</t>
        </is>
      </c>
      <c r="F983" s="12" t="inlineStr">
        <is>
          <t>Email</t>
        </is>
      </c>
      <c r="G983" s="12" t="inlineStr">
        <is>
          <t>Free</t>
        </is>
      </c>
      <c r="H983" s="12" t="n">
        <v>1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3</v>
      </c>
      <c r="N983" s="12" t="n">
        <v>0</v>
      </c>
      <c r="O983" s="12" t="n"/>
      <c r="P983" s="12" t="n">
        <v>51.5</v>
      </c>
    </row>
    <row r="984">
      <c r="A984" s="12" t="inlineStr">
        <is>
          <t>USR-100983</t>
        </is>
      </c>
      <c r="B984" s="29" t="n">
        <v>45785</v>
      </c>
      <c r="C984" s="12" t="inlineStr">
        <is>
          <t>Treatment</t>
        </is>
      </c>
      <c r="D984" s="12" t="inlineStr">
        <is>
          <t>North</t>
        </is>
      </c>
      <c r="E984" s="12" t="inlineStr">
        <is>
          <t>Desktop</t>
        </is>
      </c>
      <c r="F984" s="12" t="inlineStr">
        <is>
          <t>Referral</t>
        </is>
      </c>
      <c r="G984" s="12" t="inlineStr">
        <is>
          <t>Free</t>
        </is>
      </c>
      <c r="H984" s="12" t="n">
        <v>1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/>
      <c r="P984" s="12" t="n">
        <v>59.9</v>
      </c>
    </row>
    <row r="985">
      <c r="A985" s="12" t="inlineStr">
        <is>
          <t>USR-100984</t>
        </is>
      </c>
      <c r="B985" s="29" t="n">
        <v>45766</v>
      </c>
      <c r="C985" s="12" t="inlineStr">
        <is>
          <t>Treatment</t>
        </is>
      </c>
      <c r="D985" s="12" t="inlineStr">
        <is>
          <t>West</t>
        </is>
      </c>
      <c r="E985" s="12" t="inlineStr">
        <is>
          <t>Mobile</t>
        </is>
      </c>
      <c r="F985" s="12" t="inlineStr">
        <is>
          <t>Paid Search</t>
        </is>
      </c>
      <c r="G985" s="12" t="inlineStr">
        <is>
          <t>Basic</t>
        </is>
      </c>
      <c r="H985" s="12" t="n">
        <v>1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/>
      <c r="P985" s="12" t="n">
        <v>58.8</v>
      </c>
    </row>
    <row r="986">
      <c r="A986" s="12" t="inlineStr">
        <is>
          <t>USR-100985</t>
        </is>
      </c>
      <c r="B986" s="29" t="n">
        <v>45658</v>
      </c>
      <c r="C986" s="12" t="inlineStr">
        <is>
          <t>Treatment</t>
        </is>
      </c>
      <c r="D986" s="12" t="inlineStr">
        <is>
          <t>South</t>
        </is>
      </c>
      <c r="E986" s="12" t="inlineStr">
        <is>
          <t>Tablet</t>
        </is>
      </c>
      <c r="F986" s="12" t="inlineStr">
        <is>
          <t>Paid Search</t>
        </is>
      </c>
      <c r="G986" s="12" t="inlineStr">
        <is>
          <t>Basic</t>
        </is>
      </c>
      <c r="H986" s="12" t="n">
        <v>1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/>
      <c r="P986" s="12" t="n">
        <v>69.59999999999999</v>
      </c>
    </row>
    <row r="987">
      <c r="A987" s="12" t="inlineStr">
        <is>
          <t>USR-100986</t>
        </is>
      </c>
      <c r="B987" s="29" t="n">
        <v>45726</v>
      </c>
      <c r="C987" s="12" t="inlineStr">
        <is>
          <t>Treatment</t>
        </is>
      </c>
      <c r="D987" s="12" t="inlineStr">
        <is>
          <t>East</t>
        </is>
      </c>
      <c r="E987" s="12" t="inlineStr">
        <is>
          <t>Mobile</t>
        </is>
      </c>
      <c r="F987" s="12" t="inlineStr">
        <is>
          <t>Paid Search</t>
        </is>
      </c>
      <c r="G987" s="12" t="inlineStr">
        <is>
          <t>Free</t>
        </is>
      </c>
      <c r="H987" s="12" t="n">
        <v>1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/>
      <c r="P987" s="12" t="n">
        <v>77.5</v>
      </c>
    </row>
    <row r="988">
      <c r="A988" s="12" t="inlineStr">
        <is>
          <t>USR-100987</t>
        </is>
      </c>
      <c r="B988" s="29" t="n">
        <v>45726</v>
      </c>
      <c r="C988" s="12" t="inlineStr">
        <is>
          <t>Treatment</t>
        </is>
      </c>
      <c r="D988" s="12" t="inlineStr">
        <is>
          <t>East</t>
        </is>
      </c>
      <c r="E988" s="12" t="inlineStr">
        <is>
          <t>Tablet</t>
        </is>
      </c>
      <c r="F988" s="12" t="inlineStr">
        <is>
          <t>Social</t>
        </is>
      </c>
      <c r="G988" s="12" t="inlineStr">
        <is>
          <t>Premium</t>
        </is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2</v>
      </c>
      <c r="N988" s="12" t="n">
        <v>0</v>
      </c>
      <c r="O988" s="12" t="n"/>
      <c r="P988" s="12" t="n">
        <v>57.5</v>
      </c>
    </row>
    <row r="989">
      <c r="A989" s="12" t="inlineStr">
        <is>
          <t>USR-100988</t>
        </is>
      </c>
      <c r="B989" s="29" t="n">
        <v>45766</v>
      </c>
      <c r="C989" s="12" t="inlineStr">
        <is>
          <t>Treatment</t>
        </is>
      </c>
      <c r="D989" s="12" t="inlineStr">
        <is>
          <t>West</t>
        </is>
      </c>
      <c r="E989" s="12" t="inlineStr">
        <is>
          <t>Tablet</t>
        </is>
      </c>
      <c r="F989" s="12" t="inlineStr">
        <is>
          <t>Email</t>
        </is>
      </c>
      <c r="G989" s="12" t="inlineStr">
        <is>
          <t>Basic</t>
        </is>
      </c>
      <c r="H989" s="12" t="n">
        <v>1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/>
      <c r="P989" s="12" t="n">
        <v>64.2</v>
      </c>
    </row>
    <row r="990">
      <c r="A990" s="12" t="inlineStr">
        <is>
          <t>USR-100989</t>
        </is>
      </c>
      <c r="B990" s="29" t="n">
        <v>45758</v>
      </c>
      <c r="C990" s="12" t="inlineStr">
        <is>
          <t>Treatment</t>
        </is>
      </c>
      <c r="D990" s="12" t="inlineStr">
        <is>
          <t>West</t>
        </is>
      </c>
      <c r="E990" s="12" t="inlineStr">
        <is>
          <t>Desktop</t>
        </is>
      </c>
      <c r="F990" s="12" t="inlineStr">
        <is>
          <t>Organic</t>
        </is>
      </c>
      <c r="G990" s="12" t="inlineStr">
        <is>
          <t>Free</t>
        </is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/>
      <c r="P990" s="12" t="n">
        <v>60</v>
      </c>
    </row>
    <row r="991">
      <c r="A991" s="12" t="inlineStr">
        <is>
          <t>USR-100990</t>
        </is>
      </c>
      <c r="B991" s="29" t="n">
        <v>45757</v>
      </c>
      <c r="C991" s="12" t="inlineStr">
        <is>
          <t>Treatment</t>
        </is>
      </c>
      <c r="D991" s="12" t="inlineStr">
        <is>
          <t>East</t>
        </is>
      </c>
      <c r="E991" s="12" t="inlineStr">
        <is>
          <t>Mobile</t>
        </is>
      </c>
      <c r="F991" s="12" t="inlineStr">
        <is>
          <t>Organic</t>
        </is>
      </c>
      <c r="G991" s="12" t="inlineStr">
        <is>
          <t>Basic</t>
        </is>
      </c>
      <c r="H991" s="12" t="n">
        <v>1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1</v>
      </c>
      <c r="N991" s="12" t="n">
        <v>0</v>
      </c>
      <c r="O991" s="12" t="n"/>
      <c r="P991" s="12" t="n">
        <v>43.7</v>
      </c>
    </row>
    <row r="992">
      <c r="A992" s="12" t="inlineStr">
        <is>
          <t>USR-100991</t>
        </is>
      </c>
      <c r="B992" s="29" t="n">
        <v>45670</v>
      </c>
      <c r="C992" s="12" t="inlineStr">
        <is>
          <t>Treatment</t>
        </is>
      </c>
      <c r="D992" s="12" t="inlineStr">
        <is>
          <t>West</t>
        </is>
      </c>
      <c r="E992" s="12" t="inlineStr">
        <is>
          <t>Desktop</t>
        </is>
      </c>
      <c r="F992" s="12" t="inlineStr">
        <is>
          <t>Social</t>
        </is>
      </c>
      <c r="G992" s="12" t="inlineStr">
        <is>
          <t>Free</t>
        </is>
      </c>
      <c r="H992" s="12" t="n">
        <v>1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/>
      <c r="P992" s="12" t="n">
        <v>64.90000000000001</v>
      </c>
    </row>
    <row r="993">
      <c r="A993" s="12" t="inlineStr">
        <is>
          <t>USR-100992</t>
        </is>
      </c>
      <c r="B993" s="29" t="n">
        <v>45744</v>
      </c>
      <c r="C993" s="12" t="inlineStr">
        <is>
          <t>Treatment</t>
        </is>
      </c>
      <c r="D993" s="12" t="inlineStr">
        <is>
          <t>South</t>
        </is>
      </c>
      <c r="E993" s="12" t="inlineStr">
        <is>
          <t>Desktop</t>
        </is>
      </c>
      <c r="F993" s="12" t="inlineStr">
        <is>
          <t>Organic</t>
        </is>
      </c>
      <c r="G993" s="12" t="inlineStr">
        <is>
          <t>Free</t>
        </is>
      </c>
      <c r="H993" s="12" t="n">
        <v>1</v>
      </c>
      <c r="I993" s="12" t="n">
        <v>1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/>
      <c r="P993" s="12" t="n">
        <v>45.5</v>
      </c>
    </row>
    <row r="994">
      <c r="A994" s="12" t="inlineStr">
        <is>
          <t>USR-100993</t>
        </is>
      </c>
      <c r="B994" s="29" t="n">
        <v>45686</v>
      </c>
      <c r="C994" s="12" t="inlineStr">
        <is>
          <t>Treatment</t>
        </is>
      </c>
      <c r="D994" s="12" t="inlineStr">
        <is>
          <t>East</t>
        </is>
      </c>
      <c r="E994" s="12" t="inlineStr">
        <is>
          <t>Mobile</t>
        </is>
      </c>
      <c r="F994" s="12" t="inlineStr">
        <is>
          <t>Paid Search</t>
        </is>
      </c>
      <c r="G994" s="12" t="inlineStr">
        <is>
          <t>Free</t>
        </is>
      </c>
      <c r="H994" s="12" t="n">
        <v>1</v>
      </c>
      <c r="I994" s="12" t="n">
        <v>1</v>
      </c>
      <c r="J994" s="12" t="n">
        <v>1</v>
      </c>
      <c r="K994" s="12" t="n">
        <v>1</v>
      </c>
      <c r="L994" s="12" t="n">
        <v>1772.97</v>
      </c>
      <c r="M994" s="12" t="n">
        <v>0</v>
      </c>
      <c r="N994" s="12" t="n">
        <v>0</v>
      </c>
      <c r="O994" s="12" t="n">
        <v>8</v>
      </c>
      <c r="P994" s="12" t="n">
        <v>61.2</v>
      </c>
    </row>
    <row r="995">
      <c r="A995" s="12" t="inlineStr">
        <is>
          <t>USR-100994</t>
        </is>
      </c>
      <c r="B995" s="29" t="n">
        <v>45743</v>
      </c>
      <c r="C995" s="12" t="inlineStr">
        <is>
          <t>Treatment</t>
        </is>
      </c>
      <c r="D995" s="12" t="inlineStr">
        <is>
          <t>South</t>
        </is>
      </c>
      <c r="E995" s="12" t="inlineStr">
        <is>
          <t>Mobile</t>
        </is>
      </c>
      <c r="F995" s="12" t="inlineStr">
        <is>
          <t>Referral</t>
        </is>
      </c>
      <c r="G995" s="12" t="inlineStr">
        <is>
          <t>Free</t>
        </is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/>
      <c r="P995" s="12" t="n">
        <v>87.8</v>
      </c>
    </row>
    <row r="996">
      <c r="A996" s="12" t="inlineStr">
        <is>
          <t>USR-100995</t>
        </is>
      </c>
      <c r="B996" s="29" t="n">
        <v>45736</v>
      </c>
      <c r="C996" s="12" t="inlineStr">
        <is>
          <t>Treatment</t>
        </is>
      </c>
      <c r="D996" s="12" t="inlineStr">
        <is>
          <t>East</t>
        </is>
      </c>
      <c r="E996" s="12" t="inlineStr">
        <is>
          <t>Tablet</t>
        </is>
      </c>
      <c r="F996" s="12" t="inlineStr">
        <is>
          <t>Social</t>
        </is>
      </c>
      <c r="G996" s="12" t="inlineStr">
        <is>
          <t>Free</t>
        </is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/>
      <c r="P996" s="12" t="n">
        <v>86.40000000000001</v>
      </c>
    </row>
    <row r="997">
      <c r="A997" s="12" t="inlineStr">
        <is>
          <t>USR-100996</t>
        </is>
      </c>
      <c r="B997" s="29" t="n">
        <v>45666</v>
      </c>
      <c r="C997" s="12" t="inlineStr">
        <is>
          <t>Treatment</t>
        </is>
      </c>
      <c r="D997" s="12" t="inlineStr">
        <is>
          <t>North</t>
        </is>
      </c>
      <c r="E997" s="12" t="inlineStr">
        <is>
          <t>Mobile</t>
        </is>
      </c>
      <c r="F997" s="12" t="inlineStr">
        <is>
          <t>Paid Search</t>
        </is>
      </c>
      <c r="G997" s="12" t="inlineStr">
        <is>
          <t>Basic</t>
        </is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1</v>
      </c>
      <c r="N997" s="12" t="n">
        <v>0</v>
      </c>
      <c r="O997" s="12" t="n"/>
      <c r="P997" s="12" t="n">
        <v>71.40000000000001</v>
      </c>
    </row>
    <row r="998">
      <c r="A998" s="12" t="inlineStr">
        <is>
          <t>USR-100997</t>
        </is>
      </c>
      <c r="B998" s="29" t="n">
        <v>45772</v>
      </c>
      <c r="C998" s="12" t="inlineStr">
        <is>
          <t>Treatment</t>
        </is>
      </c>
      <c r="D998" s="12" t="inlineStr">
        <is>
          <t>West</t>
        </is>
      </c>
      <c r="E998" s="12" t="inlineStr">
        <is>
          <t>Mobile</t>
        </is>
      </c>
      <c r="F998" s="12" t="inlineStr">
        <is>
          <t>Social</t>
        </is>
      </c>
      <c r="G998" s="12" t="inlineStr">
        <is>
          <t>Free</t>
        </is>
      </c>
      <c r="H998" s="12" t="n">
        <v>1</v>
      </c>
      <c r="I998" s="12" t="n">
        <v>1</v>
      </c>
      <c r="J998" s="12" t="n">
        <v>1</v>
      </c>
      <c r="K998" s="12" t="n">
        <v>1</v>
      </c>
      <c r="L998" s="12" t="n">
        <v>218.66</v>
      </c>
      <c r="M998" s="12" t="n">
        <v>0</v>
      </c>
      <c r="N998" s="12" t="n">
        <v>1</v>
      </c>
      <c r="O998" s="12" t="n">
        <v>8</v>
      </c>
      <c r="P998" s="12" t="n">
        <v>72.2</v>
      </c>
    </row>
    <row r="999">
      <c r="A999" s="12" t="inlineStr">
        <is>
          <t>USR-100998</t>
        </is>
      </c>
      <c r="B999" s="29" t="n">
        <v>45758</v>
      </c>
      <c r="C999" s="12" t="inlineStr">
        <is>
          <t>Treatment</t>
        </is>
      </c>
      <c r="D999" s="12" t="inlineStr">
        <is>
          <t>South</t>
        </is>
      </c>
      <c r="E999" s="12" t="inlineStr">
        <is>
          <t>Desktop</t>
        </is>
      </c>
      <c r="F999" s="12" t="inlineStr">
        <is>
          <t>Social</t>
        </is>
      </c>
      <c r="G999" s="12" t="inlineStr">
        <is>
          <t>Free</t>
        </is>
      </c>
      <c r="H999" s="12" t="n">
        <v>1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/>
      <c r="P999" s="12" t="n">
        <v>51.9</v>
      </c>
    </row>
    <row r="1000">
      <c r="A1000" s="12" t="inlineStr">
        <is>
          <t>USR-100999</t>
        </is>
      </c>
      <c r="B1000" s="29" t="n">
        <v>45693</v>
      </c>
      <c r="C1000" s="12" t="inlineStr">
        <is>
          <t>Treatment</t>
        </is>
      </c>
      <c r="D1000" s="12" t="inlineStr">
        <is>
          <t>East</t>
        </is>
      </c>
      <c r="E1000" s="12" t="inlineStr">
        <is>
          <t>Mobile</t>
        </is>
      </c>
      <c r="F1000" s="12" t="inlineStr">
        <is>
          <t>Social</t>
        </is>
      </c>
      <c r="G1000" s="12" t="inlineStr">
        <is>
          <t>Basic</t>
        </is>
      </c>
      <c r="H1000" s="12" t="n">
        <v>1</v>
      </c>
      <c r="I1000" s="12" t="n">
        <v>1</v>
      </c>
      <c r="J1000" s="12" t="n">
        <v>1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/>
      <c r="P1000" s="12" t="n">
        <v>70.3</v>
      </c>
    </row>
    <row r="1001">
      <c r="A1001" s="12" t="inlineStr">
        <is>
          <t>USR-101000</t>
        </is>
      </c>
      <c r="B1001" s="29" t="n">
        <v>45744</v>
      </c>
      <c r="C1001" s="12" t="inlineStr">
        <is>
          <t>Treatment</t>
        </is>
      </c>
      <c r="D1001" s="12" t="inlineStr">
        <is>
          <t>South</t>
        </is>
      </c>
      <c r="E1001" s="12" t="inlineStr">
        <is>
          <t>Mobile</t>
        </is>
      </c>
      <c r="F1001" s="12" t="inlineStr">
        <is>
          <t>Social</t>
        </is>
      </c>
      <c r="G1001" s="12" t="inlineStr">
        <is>
          <t>Premium</t>
        </is>
      </c>
      <c r="H1001" s="12" t="n">
        <v>1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1</v>
      </c>
      <c r="N1001" s="12" t="n">
        <v>0</v>
      </c>
      <c r="O1001" s="12" t="n"/>
      <c r="P1001" s="12" t="n">
        <v>49.2</v>
      </c>
    </row>
    <row r="1002">
      <c r="A1002" s="12" t="inlineStr">
        <is>
          <t>USR-101001</t>
        </is>
      </c>
      <c r="B1002" s="29" t="n">
        <v>45791</v>
      </c>
      <c r="C1002" s="12" t="inlineStr">
        <is>
          <t>Treatment</t>
        </is>
      </c>
      <c r="D1002" s="12" t="inlineStr">
        <is>
          <t>South</t>
        </is>
      </c>
      <c r="E1002" s="12" t="inlineStr">
        <is>
          <t>Mobile</t>
        </is>
      </c>
      <c r="F1002" s="12" t="inlineStr">
        <is>
          <t>Referral</t>
        </is>
      </c>
      <c r="G1002" s="12" t="inlineStr">
        <is>
          <t>Free</t>
        </is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/>
      <c r="P1002" s="12" t="n">
        <v>52.2</v>
      </c>
    </row>
    <row r="1003">
      <c r="A1003" s="12" t="inlineStr">
        <is>
          <t>USR-101002</t>
        </is>
      </c>
      <c r="B1003" s="29" t="n">
        <v>45726</v>
      </c>
      <c r="C1003" s="12" t="inlineStr">
        <is>
          <t>Treatment</t>
        </is>
      </c>
      <c r="D1003" s="12" t="inlineStr">
        <is>
          <t>East</t>
        </is>
      </c>
      <c r="E1003" s="12" t="inlineStr">
        <is>
          <t>Mobile</t>
        </is>
      </c>
      <c r="F1003" s="12" t="inlineStr">
        <is>
          <t>Paid Search</t>
        </is>
      </c>
      <c r="G1003" s="12" t="inlineStr">
        <is>
          <t>Basic</t>
        </is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1</v>
      </c>
      <c r="N1003" s="12" t="n">
        <v>0</v>
      </c>
      <c r="O1003" s="12" t="n"/>
      <c r="P1003" s="12" t="n">
        <v>62.6</v>
      </c>
    </row>
    <row r="1004">
      <c r="A1004" s="12" t="inlineStr">
        <is>
          <t>USR-101003</t>
        </is>
      </c>
      <c r="B1004" s="29" t="n">
        <v>45756</v>
      </c>
      <c r="C1004" s="12" t="inlineStr">
        <is>
          <t>Treatment</t>
        </is>
      </c>
      <c r="D1004" s="12" t="inlineStr">
        <is>
          <t>East</t>
        </is>
      </c>
      <c r="E1004" s="12" t="inlineStr">
        <is>
          <t>Desktop</t>
        </is>
      </c>
      <c r="F1004" s="12" t="inlineStr">
        <is>
          <t>Paid Search</t>
        </is>
      </c>
      <c r="G1004" s="12" t="inlineStr">
        <is>
          <t>Free</t>
        </is>
      </c>
      <c r="H1004" s="12" t="n">
        <v>1</v>
      </c>
      <c r="I1004" s="12" t="n">
        <v>1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/>
      <c r="P1004" s="12" t="n">
        <v>100</v>
      </c>
    </row>
    <row r="1005">
      <c r="A1005" s="12" t="inlineStr">
        <is>
          <t>USR-101004</t>
        </is>
      </c>
      <c r="B1005" s="29" t="n">
        <v>45701</v>
      </c>
      <c r="C1005" s="12" t="inlineStr">
        <is>
          <t>Treatment</t>
        </is>
      </c>
      <c r="D1005" s="12" t="inlineStr">
        <is>
          <t>North</t>
        </is>
      </c>
      <c r="E1005" s="12" t="inlineStr">
        <is>
          <t>Mobile</t>
        </is>
      </c>
      <c r="F1005" s="12" t="inlineStr">
        <is>
          <t>Referral</t>
        </is>
      </c>
      <c r="G1005" s="12" t="inlineStr">
        <is>
          <t>Basic</t>
        </is>
      </c>
      <c r="H1005" s="12" t="n">
        <v>1</v>
      </c>
      <c r="I1005" s="12" t="n">
        <v>1</v>
      </c>
      <c r="J1005" s="12" t="n">
        <v>1</v>
      </c>
      <c r="K1005" s="12" t="n">
        <v>0</v>
      </c>
      <c r="L1005" s="12" t="n">
        <v>0</v>
      </c>
      <c r="M1005" s="12" t="n">
        <v>2</v>
      </c>
      <c r="N1005" s="12" t="n">
        <v>0</v>
      </c>
      <c r="O1005" s="12" t="n"/>
      <c r="P1005" s="12" t="n">
        <v>45.9</v>
      </c>
    </row>
    <row r="1006">
      <c r="A1006" s="12" t="inlineStr">
        <is>
          <t>USR-101005</t>
        </is>
      </c>
      <c r="B1006" s="29" t="n">
        <v>45780</v>
      </c>
      <c r="C1006" s="12" t="inlineStr">
        <is>
          <t>Treatment</t>
        </is>
      </c>
      <c r="D1006" s="12" t="inlineStr">
        <is>
          <t>East</t>
        </is>
      </c>
      <c r="E1006" s="12" t="inlineStr">
        <is>
          <t>Mobile</t>
        </is>
      </c>
      <c r="F1006" s="12" t="inlineStr">
        <is>
          <t>Email</t>
        </is>
      </c>
      <c r="G1006" s="12" t="inlineStr">
        <is>
          <t>Free</t>
        </is>
      </c>
      <c r="H1006" s="12" t="n">
        <v>1</v>
      </c>
      <c r="I1006" s="12" t="n">
        <v>1</v>
      </c>
      <c r="J1006" s="12" t="n">
        <v>1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/>
      <c r="P1006" s="12" t="n">
        <v>80.7</v>
      </c>
    </row>
    <row r="1007">
      <c r="A1007" s="12" t="inlineStr">
        <is>
          <t>USR-101006</t>
        </is>
      </c>
      <c r="B1007" s="29" t="n">
        <v>45763</v>
      </c>
      <c r="C1007" s="12" t="inlineStr">
        <is>
          <t>Treatment</t>
        </is>
      </c>
      <c r="D1007" s="12" t="inlineStr">
        <is>
          <t>South</t>
        </is>
      </c>
      <c r="E1007" s="12" t="inlineStr">
        <is>
          <t>Desktop</t>
        </is>
      </c>
      <c r="F1007" s="12" t="inlineStr">
        <is>
          <t>Referral</t>
        </is>
      </c>
      <c r="G1007" s="12" t="inlineStr">
        <is>
          <t>Premium</t>
        </is>
      </c>
      <c r="H1007" s="12" t="n">
        <v>1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/>
      <c r="P1007" s="12" t="n">
        <v>51.9</v>
      </c>
    </row>
    <row r="1008">
      <c r="A1008" s="12" t="inlineStr">
        <is>
          <t>USR-101007</t>
        </is>
      </c>
      <c r="B1008" s="29" t="n">
        <v>45777</v>
      </c>
      <c r="C1008" s="12" t="inlineStr">
        <is>
          <t>Treatment</t>
        </is>
      </c>
      <c r="D1008" s="12" t="inlineStr">
        <is>
          <t>North</t>
        </is>
      </c>
      <c r="E1008" s="12" t="inlineStr">
        <is>
          <t>Mobile</t>
        </is>
      </c>
      <c r="F1008" s="12" t="inlineStr">
        <is>
          <t>Paid Search</t>
        </is>
      </c>
      <c r="G1008" s="12" t="inlineStr">
        <is>
          <t>Premium</t>
        </is>
      </c>
      <c r="H1008" s="12" t="n">
        <v>1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/>
      <c r="P1008" s="12" t="n">
        <v>68.90000000000001</v>
      </c>
    </row>
    <row r="1009">
      <c r="A1009" s="12" t="inlineStr">
        <is>
          <t>USR-101008</t>
        </is>
      </c>
      <c r="B1009" s="29" t="n">
        <v>45706</v>
      </c>
      <c r="C1009" s="12" t="inlineStr">
        <is>
          <t>Treatment</t>
        </is>
      </c>
      <c r="D1009" s="12" t="inlineStr">
        <is>
          <t>West</t>
        </is>
      </c>
      <c r="E1009" s="12" t="inlineStr">
        <is>
          <t>Desktop</t>
        </is>
      </c>
      <c r="F1009" s="12" t="inlineStr">
        <is>
          <t>Organic</t>
        </is>
      </c>
      <c r="G1009" s="12" t="inlineStr">
        <is>
          <t>Free</t>
        </is>
      </c>
      <c r="H1009" s="12" t="n">
        <v>1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/>
      <c r="P1009" s="12" t="n">
        <v>66</v>
      </c>
    </row>
    <row r="1010">
      <c r="A1010" s="12" t="inlineStr">
        <is>
          <t>USR-101009</t>
        </is>
      </c>
      <c r="B1010" s="29" t="n">
        <v>45799</v>
      </c>
      <c r="C1010" s="12" t="inlineStr">
        <is>
          <t>Treatment</t>
        </is>
      </c>
      <c r="D1010" s="12" t="inlineStr">
        <is>
          <t>West</t>
        </is>
      </c>
      <c r="E1010" s="12" t="inlineStr">
        <is>
          <t>Desktop</t>
        </is>
      </c>
      <c r="F1010" s="12" t="inlineStr">
        <is>
          <t>Referral</t>
        </is>
      </c>
      <c r="G1010" s="12" t="inlineStr">
        <is>
          <t>Basic</t>
        </is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/>
      <c r="P1010" s="12" t="n">
        <v>63.1</v>
      </c>
    </row>
    <row r="1011">
      <c r="A1011" s="12" t="inlineStr">
        <is>
          <t>USR-101010</t>
        </is>
      </c>
      <c r="B1011" s="29" t="n">
        <v>45798</v>
      </c>
      <c r="C1011" s="12" t="inlineStr">
        <is>
          <t>Treatment</t>
        </is>
      </c>
      <c r="D1011" s="12" t="inlineStr">
        <is>
          <t>South</t>
        </is>
      </c>
      <c r="E1011" s="12" t="inlineStr">
        <is>
          <t>Desktop</t>
        </is>
      </c>
      <c r="F1011" s="12" t="inlineStr">
        <is>
          <t>Organic</t>
        </is>
      </c>
      <c r="G1011" s="12" t="inlineStr">
        <is>
          <t>Free</t>
        </is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/>
      <c r="P1011" s="12" t="n">
        <v>56</v>
      </c>
    </row>
    <row r="1012">
      <c r="A1012" s="12" t="inlineStr">
        <is>
          <t>USR-101011</t>
        </is>
      </c>
      <c r="B1012" s="29" t="n">
        <v>45757</v>
      </c>
      <c r="C1012" s="12" t="inlineStr">
        <is>
          <t>Treatment</t>
        </is>
      </c>
      <c r="D1012" s="12" t="inlineStr">
        <is>
          <t>East</t>
        </is>
      </c>
      <c r="E1012" s="12" t="inlineStr">
        <is>
          <t>Desktop</t>
        </is>
      </c>
      <c r="F1012" s="12" t="inlineStr">
        <is>
          <t>Organic</t>
        </is>
      </c>
      <c r="G1012" s="12" t="inlineStr">
        <is>
          <t>Free</t>
        </is>
      </c>
      <c r="H1012" s="12" t="n">
        <v>1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1</v>
      </c>
      <c r="N1012" s="12" t="n">
        <v>0</v>
      </c>
      <c r="O1012" s="12" t="n"/>
      <c r="P1012" s="12" t="n">
        <v>65.7</v>
      </c>
    </row>
    <row r="1013">
      <c r="A1013" s="12" t="inlineStr">
        <is>
          <t>USR-101012</t>
        </is>
      </c>
      <c r="B1013" s="29" t="n">
        <v>45664</v>
      </c>
      <c r="C1013" s="12" t="inlineStr">
        <is>
          <t>Treatment</t>
        </is>
      </c>
      <c r="D1013" s="12" t="inlineStr">
        <is>
          <t>North</t>
        </is>
      </c>
      <c r="E1013" s="12" t="inlineStr">
        <is>
          <t>Desktop</t>
        </is>
      </c>
      <c r="F1013" s="12" t="inlineStr">
        <is>
          <t>Organic</t>
        </is>
      </c>
      <c r="G1013" s="12" t="inlineStr">
        <is>
          <t>Premium</t>
        </is>
      </c>
      <c r="H1013" s="12" t="n">
        <v>1</v>
      </c>
      <c r="I1013" s="12" t="n">
        <v>1</v>
      </c>
      <c r="J1013" s="12" t="n">
        <v>1</v>
      </c>
      <c r="K1013" s="12" t="n">
        <v>1</v>
      </c>
      <c r="L1013" s="12" t="n">
        <v>1938.31</v>
      </c>
      <c r="M1013" s="12" t="n">
        <v>1</v>
      </c>
      <c r="N1013" s="12" t="n">
        <v>0</v>
      </c>
      <c r="O1013" s="12" t="n">
        <v>9</v>
      </c>
      <c r="P1013" s="12" t="n">
        <v>60.9</v>
      </c>
    </row>
    <row r="1014">
      <c r="A1014" s="12" t="inlineStr">
        <is>
          <t>USR-101013</t>
        </is>
      </c>
      <c r="B1014" s="29" t="n">
        <v>45691</v>
      </c>
      <c r="C1014" s="12" t="inlineStr">
        <is>
          <t>Treatment</t>
        </is>
      </c>
      <c r="D1014" s="12" t="inlineStr">
        <is>
          <t>South</t>
        </is>
      </c>
      <c r="E1014" s="12" t="inlineStr">
        <is>
          <t>Desktop</t>
        </is>
      </c>
      <c r="F1014" s="12" t="inlineStr">
        <is>
          <t>Social</t>
        </is>
      </c>
      <c r="G1014" s="12" t="inlineStr">
        <is>
          <t>Free</t>
        </is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/>
      <c r="P1014" s="12" t="n">
        <v>45.5</v>
      </c>
    </row>
    <row r="1015">
      <c r="A1015" s="12" t="inlineStr">
        <is>
          <t>USR-101014</t>
        </is>
      </c>
      <c r="B1015" s="29" t="n">
        <v>45795</v>
      </c>
      <c r="C1015" s="12" t="inlineStr">
        <is>
          <t>Treatment</t>
        </is>
      </c>
      <c r="D1015" s="12" t="inlineStr">
        <is>
          <t>North</t>
        </is>
      </c>
      <c r="E1015" s="12" t="inlineStr">
        <is>
          <t>Mobile</t>
        </is>
      </c>
      <c r="F1015" s="12" t="inlineStr">
        <is>
          <t>Paid Search</t>
        </is>
      </c>
      <c r="G1015" s="12" t="inlineStr">
        <is>
          <t>Free</t>
        </is>
      </c>
      <c r="H1015" s="12" t="n">
        <v>1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/>
      <c r="P1015" s="12" t="n">
        <v>50</v>
      </c>
    </row>
    <row r="1016">
      <c r="A1016" s="12" t="inlineStr">
        <is>
          <t>USR-101015</t>
        </is>
      </c>
      <c r="B1016" s="29" t="n">
        <v>45688</v>
      </c>
      <c r="C1016" s="12" t="inlineStr">
        <is>
          <t>Treatment</t>
        </is>
      </c>
      <c r="D1016" s="12" t="inlineStr">
        <is>
          <t>North</t>
        </is>
      </c>
      <c r="E1016" s="12" t="inlineStr">
        <is>
          <t>Mobile</t>
        </is>
      </c>
      <c r="F1016" s="12" t="inlineStr">
        <is>
          <t>Referral</t>
        </is>
      </c>
      <c r="G1016" s="12" t="inlineStr">
        <is>
          <t>Free</t>
        </is>
      </c>
      <c r="H1016" s="12" t="n">
        <v>1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/>
      <c r="P1016" s="12" t="n">
        <v>72.09999999999999</v>
      </c>
    </row>
    <row r="1017">
      <c r="A1017" s="12" t="inlineStr">
        <is>
          <t>USR-101016</t>
        </is>
      </c>
      <c r="B1017" s="29" t="n">
        <v>45673</v>
      </c>
      <c r="C1017" s="12" t="inlineStr">
        <is>
          <t>Treatment</t>
        </is>
      </c>
      <c r="D1017" s="12" t="inlineStr">
        <is>
          <t>South</t>
        </is>
      </c>
      <c r="E1017" s="12" t="inlineStr">
        <is>
          <t>Desktop</t>
        </is>
      </c>
      <c r="F1017" s="12" t="inlineStr">
        <is>
          <t>Organic</t>
        </is>
      </c>
      <c r="G1017" s="12" t="inlineStr">
        <is>
          <t>Basic</t>
        </is>
      </c>
      <c r="H1017" s="12" t="n">
        <v>1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/>
      <c r="P1017" s="12" t="n">
        <v>76.3</v>
      </c>
    </row>
    <row r="1018">
      <c r="A1018" s="12" t="inlineStr">
        <is>
          <t>USR-101017</t>
        </is>
      </c>
      <c r="B1018" s="29" t="n">
        <v>45791</v>
      </c>
      <c r="C1018" s="12" t="inlineStr">
        <is>
          <t>Treatment</t>
        </is>
      </c>
      <c r="D1018" s="12" t="inlineStr">
        <is>
          <t>East</t>
        </is>
      </c>
      <c r="E1018" s="12" t="inlineStr">
        <is>
          <t>Mobile</t>
        </is>
      </c>
      <c r="F1018" s="12" t="inlineStr">
        <is>
          <t>Paid Search</t>
        </is>
      </c>
      <c r="G1018" s="12" t="inlineStr">
        <is>
          <t>Basic</t>
        </is>
      </c>
      <c r="H1018" s="12" t="n">
        <v>1</v>
      </c>
      <c r="I1018" s="12" t="n">
        <v>1</v>
      </c>
      <c r="J1018" s="12" t="n">
        <v>0</v>
      </c>
      <c r="K1018" s="12" t="n">
        <v>0</v>
      </c>
      <c r="L1018" s="12" t="n">
        <v>0</v>
      </c>
      <c r="M1018" s="12" t="n">
        <v>1</v>
      </c>
      <c r="N1018" s="12" t="n">
        <v>0</v>
      </c>
      <c r="O1018" s="12" t="n"/>
      <c r="P1018" s="12" t="n">
        <v>54.8</v>
      </c>
    </row>
    <row r="1019">
      <c r="A1019" s="12" t="inlineStr">
        <is>
          <t>USR-101018</t>
        </is>
      </c>
      <c r="B1019" s="29" t="n">
        <v>45748</v>
      </c>
      <c r="C1019" s="12" t="inlineStr">
        <is>
          <t>Treatment</t>
        </is>
      </c>
      <c r="D1019" s="12" t="inlineStr">
        <is>
          <t>South</t>
        </is>
      </c>
      <c r="E1019" s="12" t="inlineStr">
        <is>
          <t>Mobile</t>
        </is>
      </c>
      <c r="F1019" s="12" t="n"/>
      <c r="G1019" s="12" t="inlineStr">
        <is>
          <t>Basic</t>
        </is>
      </c>
      <c r="H1019" s="12" t="n">
        <v>1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/>
      <c r="P1019" s="12" t="n">
        <v>63.6</v>
      </c>
    </row>
    <row r="1020">
      <c r="A1020" s="12" t="inlineStr">
        <is>
          <t>USR-101019</t>
        </is>
      </c>
      <c r="B1020" s="29" t="n">
        <v>45770</v>
      </c>
      <c r="C1020" s="12" t="inlineStr">
        <is>
          <t>Treatment</t>
        </is>
      </c>
      <c r="D1020" s="12" t="inlineStr">
        <is>
          <t>South</t>
        </is>
      </c>
      <c r="E1020" s="12" t="inlineStr">
        <is>
          <t>Mobile</t>
        </is>
      </c>
      <c r="F1020" s="12" t="inlineStr">
        <is>
          <t>Organic</t>
        </is>
      </c>
      <c r="G1020" s="12" t="inlineStr">
        <is>
          <t>Free</t>
        </is>
      </c>
      <c r="H1020" s="12" t="n">
        <v>1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/>
      <c r="P1020" s="12" t="n">
        <v>68.8</v>
      </c>
    </row>
    <row r="1021">
      <c r="A1021" s="12" t="inlineStr">
        <is>
          <t>USR-101020</t>
        </is>
      </c>
      <c r="B1021" s="29" t="n">
        <v>45718</v>
      </c>
      <c r="C1021" s="12" t="inlineStr">
        <is>
          <t>Treatment</t>
        </is>
      </c>
      <c r="D1021" s="12" t="inlineStr">
        <is>
          <t>South</t>
        </is>
      </c>
      <c r="E1021" s="12" t="inlineStr">
        <is>
          <t>Desktop</t>
        </is>
      </c>
      <c r="F1021" s="12" t="inlineStr">
        <is>
          <t>Paid Search</t>
        </is>
      </c>
      <c r="G1021" s="12" t="inlineStr">
        <is>
          <t>Basic</t>
        </is>
      </c>
      <c r="H1021" s="12" t="n">
        <v>1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/>
      <c r="P1021" s="12" t="n">
        <v>63.2</v>
      </c>
    </row>
    <row r="1022">
      <c r="A1022" s="12" t="inlineStr">
        <is>
          <t>USR-101021</t>
        </is>
      </c>
      <c r="B1022" s="29" t="n">
        <v>45659</v>
      </c>
      <c r="C1022" s="12" t="inlineStr">
        <is>
          <t>Treatment</t>
        </is>
      </c>
      <c r="D1022" s="12" t="inlineStr">
        <is>
          <t>East</t>
        </is>
      </c>
      <c r="E1022" s="12" t="inlineStr">
        <is>
          <t>Mobile</t>
        </is>
      </c>
      <c r="F1022" s="12" t="inlineStr">
        <is>
          <t>Paid Search</t>
        </is>
      </c>
      <c r="G1022" s="12" t="inlineStr">
        <is>
          <t>Basic</t>
        </is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/>
      <c r="P1022" s="12" t="n">
        <v>45</v>
      </c>
    </row>
    <row r="1023">
      <c r="A1023" s="12" t="inlineStr">
        <is>
          <t>USR-101022</t>
        </is>
      </c>
      <c r="B1023" s="29" t="n">
        <v>45781</v>
      </c>
      <c r="C1023" s="12" t="inlineStr">
        <is>
          <t>Treatment</t>
        </is>
      </c>
      <c r="D1023" s="12" t="inlineStr">
        <is>
          <t>South</t>
        </is>
      </c>
      <c r="E1023" s="12" t="inlineStr">
        <is>
          <t>Mobile</t>
        </is>
      </c>
      <c r="F1023" s="12" t="inlineStr">
        <is>
          <t>Organic</t>
        </is>
      </c>
      <c r="G1023" s="12" t="inlineStr">
        <is>
          <t>Free</t>
        </is>
      </c>
      <c r="H1023" s="12" t="n">
        <v>1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/>
      <c r="P1023" s="12" t="n">
        <v>77.40000000000001</v>
      </c>
    </row>
    <row r="1024">
      <c r="A1024" s="12" t="inlineStr">
        <is>
          <t>USR-101023</t>
        </is>
      </c>
      <c r="B1024" s="29" t="n">
        <v>45673</v>
      </c>
      <c r="C1024" s="12" t="inlineStr">
        <is>
          <t>Treatment</t>
        </is>
      </c>
      <c r="D1024" s="12" t="inlineStr">
        <is>
          <t>East</t>
        </is>
      </c>
      <c r="E1024" s="12" t="inlineStr">
        <is>
          <t>Desktop</t>
        </is>
      </c>
      <c r="F1024" s="12" t="inlineStr">
        <is>
          <t>Paid Search</t>
        </is>
      </c>
      <c r="G1024" s="12" t="inlineStr">
        <is>
          <t>Basic</t>
        </is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/>
      <c r="P1024" s="12" t="n">
        <v>53.1</v>
      </c>
    </row>
    <row r="1025">
      <c r="A1025" s="12" t="inlineStr">
        <is>
          <t>USR-101024</t>
        </is>
      </c>
      <c r="B1025" s="29" t="n">
        <v>45699</v>
      </c>
      <c r="C1025" s="12" t="inlineStr">
        <is>
          <t>Treatment</t>
        </is>
      </c>
      <c r="D1025" s="12" t="inlineStr">
        <is>
          <t>West</t>
        </is>
      </c>
      <c r="E1025" s="12" t="inlineStr">
        <is>
          <t>Tablet</t>
        </is>
      </c>
      <c r="F1025" s="12" t="inlineStr">
        <is>
          <t>Paid Search</t>
        </is>
      </c>
      <c r="G1025" s="12" t="inlineStr">
        <is>
          <t>Premium</t>
        </is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/>
      <c r="P1025" s="12" t="n">
        <v>74</v>
      </c>
    </row>
    <row r="1026">
      <c r="A1026" s="12" t="inlineStr">
        <is>
          <t>USR-101025</t>
        </is>
      </c>
      <c r="B1026" s="29" t="n">
        <v>45750</v>
      </c>
      <c r="C1026" s="12" t="inlineStr">
        <is>
          <t>Treatment</t>
        </is>
      </c>
      <c r="D1026" s="12" t="inlineStr">
        <is>
          <t>North</t>
        </is>
      </c>
      <c r="E1026" s="12" t="inlineStr">
        <is>
          <t>Mobile</t>
        </is>
      </c>
      <c r="F1026" s="12" t="inlineStr">
        <is>
          <t>Social</t>
        </is>
      </c>
      <c r="G1026" s="12" t="inlineStr">
        <is>
          <t>Premium</t>
        </is>
      </c>
      <c r="H1026" s="12" t="n">
        <v>1</v>
      </c>
      <c r="I1026" s="12" t="n">
        <v>1</v>
      </c>
      <c r="J1026" s="12" t="n">
        <v>1</v>
      </c>
      <c r="K1026" s="12" t="n">
        <v>1</v>
      </c>
      <c r="L1026" s="12" t="n">
        <v>1906.23</v>
      </c>
      <c r="M1026" s="12" t="n">
        <v>0</v>
      </c>
      <c r="N1026" s="12" t="n">
        <v>0</v>
      </c>
      <c r="O1026" s="12" t="n">
        <v>4</v>
      </c>
      <c r="P1026" s="12" t="n">
        <v>84.59999999999999</v>
      </c>
    </row>
    <row r="1027">
      <c r="A1027" s="12" t="inlineStr">
        <is>
          <t>USR-101026</t>
        </is>
      </c>
      <c r="B1027" s="29" t="n">
        <v>45742</v>
      </c>
      <c r="C1027" s="12" t="inlineStr">
        <is>
          <t>Treatment</t>
        </is>
      </c>
      <c r="D1027" s="12" t="inlineStr">
        <is>
          <t>East</t>
        </is>
      </c>
      <c r="E1027" s="12" t="inlineStr">
        <is>
          <t>Mobile</t>
        </is>
      </c>
      <c r="F1027" s="12" t="inlineStr">
        <is>
          <t>Referral</t>
        </is>
      </c>
      <c r="G1027" s="12" t="inlineStr">
        <is>
          <t>Free</t>
        </is>
      </c>
      <c r="H1027" s="12" t="n">
        <v>1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/>
      <c r="P1027" s="12" t="n">
        <v>57</v>
      </c>
    </row>
    <row r="1028">
      <c r="A1028" s="12" t="inlineStr">
        <is>
          <t>USR-101027</t>
        </is>
      </c>
      <c r="B1028" s="29" t="n">
        <v>45793</v>
      </c>
      <c r="C1028" s="12" t="inlineStr">
        <is>
          <t>Treatment</t>
        </is>
      </c>
      <c r="D1028" s="12" t="inlineStr">
        <is>
          <t>South</t>
        </is>
      </c>
      <c r="E1028" s="12" t="inlineStr">
        <is>
          <t>Mobile</t>
        </is>
      </c>
      <c r="F1028" s="12" t="inlineStr">
        <is>
          <t>Email</t>
        </is>
      </c>
      <c r="G1028" s="12" t="inlineStr">
        <is>
          <t>Premium</t>
        </is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/>
      <c r="P1028" s="12" t="n">
        <v>46.3</v>
      </c>
    </row>
    <row r="1029">
      <c r="A1029" s="12" t="inlineStr">
        <is>
          <t>USR-101028</t>
        </is>
      </c>
      <c r="B1029" s="29" t="n">
        <v>45767</v>
      </c>
      <c r="C1029" s="12" t="inlineStr">
        <is>
          <t>Treatment</t>
        </is>
      </c>
      <c r="D1029" s="12" t="inlineStr">
        <is>
          <t>West</t>
        </is>
      </c>
      <c r="E1029" s="12" t="inlineStr">
        <is>
          <t>Mobile</t>
        </is>
      </c>
      <c r="F1029" s="12" t="inlineStr">
        <is>
          <t>Social</t>
        </is>
      </c>
      <c r="G1029" s="12" t="inlineStr">
        <is>
          <t>Free</t>
        </is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1</v>
      </c>
      <c r="N1029" s="12" t="n">
        <v>0</v>
      </c>
      <c r="O1029" s="12" t="n"/>
      <c r="P1029" s="12" t="n">
        <v>64.40000000000001</v>
      </c>
    </row>
    <row r="1030">
      <c r="A1030" s="12" t="inlineStr">
        <is>
          <t>USR-101029</t>
        </is>
      </c>
      <c r="B1030" s="29" t="n">
        <v>45762</v>
      </c>
      <c r="C1030" s="12" t="inlineStr">
        <is>
          <t>Treatment</t>
        </is>
      </c>
      <c r="D1030" s="12" t="inlineStr">
        <is>
          <t>West</t>
        </is>
      </c>
      <c r="E1030" s="12" t="inlineStr">
        <is>
          <t>Mobile</t>
        </is>
      </c>
      <c r="F1030" s="12" t="inlineStr">
        <is>
          <t>Paid Search</t>
        </is>
      </c>
      <c r="G1030" s="12" t="inlineStr">
        <is>
          <t>Free</t>
        </is>
      </c>
      <c r="H1030" s="12" t="n">
        <v>1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2</v>
      </c>
      <c r="N1030" s="12" t="n">
        <v>0</v>
      </c>
      <c r="O1030" s="12" t="n"/>
      <c r="P1030" s="12" t="n">
        <v>61.9</v>
      </c>
    </row>
    <row r="1031">
      <c r="A1031" s="12" t="inlineStr">
        <is>
          <t>USR-101030</t>
        </is>
      </c>
      <c r="B1031" s="29" t="n">
        <v>45681</v>
      </c>
      <c r="C1031" s="12" t="inlineStr">
        <is>
          <t>Treatment</t>
        </is>
      </c>
      <c r="D1031" s="12" t="inlineStr">
        <is>
          <t>North</t>
        </is>
      </c>
      <c r="E1031" s="12" t="inlineStr">
        <is>
          <t>Mobile</t>
        </is>
      </c>
      <c r="F1031" s="12" t="inlineStr">
        <is>
          <t>Organic</t>
        </is>
      </c>
      <c r="G1031" s="12" t="inlineStr">
        <is>
          <t>Premium</t>
        </is>
      </c>
      <c r="H1031" s="12" t="n">
        <v>1</v>
      </c>
      <c r="I1031" s="12" t="n">
        <v>1</v>
      </c>
      <c r="J1031" s="12" t="n">
        <v>1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/>
      <c r="P1031" s="12" t="n">
        <v>93.7</v>
      </c>
    </row>
    <row r="1032">
      <c r="A1032" s="12" t="inlineStr">
        <is>
          <t>USR-101031</t>
        </is>
      </c>
      <c r="B1032" s="29" t="n">
        <v>45758</v>
      </c>
      <c r="C1032" s="12" t="inlineStr">
        <is>
          <t>Treatment</t>
        </is>
      </c>
      <c r="D1032" s="12" t="inlineStr">
        <is>
          <t>South</t>
        </is>
      </c>
      <c r="E1032" s="12" t="inlineStr">
        <is>
          <t>Mobile</t>
        </is>
      </c>
      <c r="F1032" s="12" t="inlineStr">
        <is>
          <t>Referral</t>
        </is>
      </c>
      <c r="G1032" s="12" t="inlineStr">
        <is>
          <t>Basic</t>
        </is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/>
      <c r="P1032" s="12" t="n">
        <v>61.6</v>
      </c>
    </row>
    <row r="1033">
      <c r="A1033" s="12" t="inlineStr">
        <is>
          <t>USR-101032</t>
        </is>
      </c>
      <c r="B1033" s="29" t="n">
        <v>45796</v>
      </c>
      <c r="C1033" s="12" t="inlineStr">
        <is>
          <t>Treatment</t>
        </is>
      </c>
      <c r="D1033" s="12" t="inlineStr">
        <is>
          <t>North</t>
        </is>
      </c>
      <c r="E1033" s="12" t="inlineStr">
        <is>
          <t>Mobile</t>
        </is>
      </c>
      <c r="F1033" s="12" t="inlineStr">
        <is>
          <t>Paid Search</t>
        </is>
      </c>
      <c r="G1033" s="12" t="inlineStr">
        <is>
          <t>Free</t>
        </is>
      </c>
      <c r="H1033" s="12" t="n">
        <v>1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/>
      <c r="P1033" s="12" t="n">
        <v>72.2</v>
      </c>
    </row>
    <row r="1034">
      <c r="A1034" s="12" t="inlineStr">
        <is>
          <t>USR-101033</t>
        </is>
      </c>
      <c r="B1034" s="29" t="n">
        <v>45671</v>
      </c>
      <c r="C1034" s="12" t="inlineStr">
        <is>
          <t>Treatment</t>
        </is>
      </c>
      <c r="D1034" s="12" t="inlineStr">
        <is>
          <t>North</t>
        </is>
      </c>
      <c r="E1034" s="12" t="inlineStr">
        <is>
          <t>Mobile</t>
        </is>
      </c>
      <c r="F1034" s="12" t="inlineStr">
        <is>
          <t>Organic</t>
        </is>
      </c>
      <c r="G1034" s="12" t="inlineStr">
        <is>
          <t>Basic</t>
        </is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/>
      <c r="P1034" s="12" t="n">
        <v>69.5</v>
      </c>
    </row>
    <row r="1035">
      <c r="A1035" s="12" t="inlineStr">
        <is>
          <t>USR-101034</t>
        </is>
      </c>
      <c r="B1035" s="29" t="n">
        <v>45716</v>
      </c>
      <c r="C1035" s="12" t="inlineStr">
        <is>
          <t>Treatment</t>
        </is>
      </c>
      <c r="D1035" s="12" t="inlineStr">
        <is>
          <t>East</t>
        </is>
      </c>
      <c r="E1035" s="12" t="inlineStr">
        <is>
          <t>Desktop</t>
        </is>
      </c>
      <c r="F1035" s="12" t="inlineStr">
        <is>
          <t>Organic</t>
        </is>
      </c>
      <c r="G1035" s="12" t="inlineStr">
        <is>
          <t>Basic</t>
        </is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/>
      <c r="P1035" s="12" t="n">
        <v>59.7</v>
      </c>
    </row>
    <row r="1036">
      <c r="A1036" s="12" t="inlineStr">
        <is>
          <t>USR-101035</t>
        </is>
      </c>
      <c r="B1036" s="29" t="n">
        <v>45795</v>
      </c>
      <c r="C1036" s="12" t="inlineStr">
        <is>
          <t>Treatment</t>
        </is>
      </c>
      <c r="D1036" s="12" t="inlineStr">
        <is>
          <t>East</t>
        </is>
      </c>
      <c r="E1036" s="12" t="inlineStr">
        <is>
          <t>Tablet</t>
        </is>
      </c>
      <c r="F1036" s="12" t="inlineStr">
        <is>
          <t>Paid Search</t>
        </is>
      </c>
      <c r="G1036" s="12" t="inlineStr">
        <is>
          <t>Basic</t>
        </is>
      </c>
      <c r="H1036" s="12" t="n">
        <v>1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/>
      <c r="P1036" s="12" t="n">
        <v>73.90000000000001</v>
      </c>
    </row>
    <row r="1037">
      <c r="A1037" s="12" t="inlineStr">
        <is>
          <t>USR-101036</t>
        </is>
      </c>
      <c r="B1037" s="29" t="n">
        <v>45661</v>
      </c>
      <c r="C1037" s="12" t="inlineStr">
        <is>
          <t>Treatment</t>
        </is>
      </c>
      <c r="D1037" s="12" t="inlineStr">
        <is>
          <t>North</t>
        </is>
      </c>
      <c r="E1037" s="12" t="inlineStr">
        <is>
          <t>Mobile</t>
        </is>
      </c>
      <c r="F1037" s="12" t="inlineStr">
        <is>
          <t>Social</t>
        </is>
      </c>
      <c r="G1037" s="12" t="inlineStr">
        <is>
          <t>Free</t>
        </is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/>
      <c r="P1037" s="12" t="n">
        <v>41.5</v>
      </c>
    </row>
    <row r="1038">
      <c r="A1038" s="12" t="inlineStr">
        <is>
          <t>USR-101037</t>
        </is>
      </c>
      <c r="B1038" s="29" t="n">
        <v>45673</v>
      </c>
      <c r="C1038" s="12" t="inlineStr">
        <is>
          <t>Treatment</t>
        </is>
      </c>
      <c r="D1038" s="12" t="inlineStr">
        <is>
          <t>West</t>
        </is>
      </c>
      <c r="E1038" s="12" t="inlineStr">
        <is>
          <t>Mobile</t>
        </is>
      </c>
      <c r="F1038" s="12" t="inlineStr">
        <is>
          <t>Social</t>
        </is>
      </c>
      <c r="G1038" s="12" t="inlineStr">
        <is>
          <t>Premium</t>
        </is>
      </c>
      <c r="H1038" s="12" t="n">
        <v>1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/>
      <c r="P1038" s="12" t="n">
        <v>82.8</v>
      </c>
    </row>
    <row r="1039">
      <c r="A1039" s="12" t="inlineStr">
        <is>
          <t>USR-101038</t>
        </is>
      </c>
      <c r="B1039" s="29" t="n">
        <v>45730</v>
      </c>
      <c r="C1039" s="12" t="inlineStr">
        <is>
          <t>Treatment</t>
        </is>
      </c>
      <c r="D1039" s="12" t="inlineStr">
        <is>
          <t>West</t>
        </is>
      </c>
      <c r="E1039" s="12" t="inlineStr">
        <is>
          <t>Mobile</t>
        </is>
      </c>
      <c r="F1039" s="12" t="inlineStr">
        <is>
          <t>Social</t>
        </is>
      </c>
      <c r="G1039" s="12" t="inlineStr">
        <is>
          <t>Premium</t>
        </is>
      </c>
      <c r="H1039" s="12" t="n">
        <v>1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3</v>
      </c>
      <c r="N1039" s="12" t="n">
        <v>0</v>
      </c>
      <c r="O1039" s="12" t="n"/>
      <c r="P1039" s="12" t="n">
        <v>70.2</v>
      </c>
    </row>
    <row r="1040">
      <c r="A1040" s="12" t="inlineStr">
        <is>
          <t>USR-101039</t>
        </is>
      </c>
      <c r="B1040" s="29" t="n">
        <v>45680</v>
      </c>
      <c r="C1040" s="12" t="inlineStr">
        <is>
          <t>Treatment</t>
        </is>
      </c>
      <c r="D1040" s="12" t="inlineStr">
        <is>
          <t>East</t>
        </is>
      </c>
      <c r="E1040" s="12" t="inlineStr">
        <is>
          <t>Mobile</t>
        </is>
      </c>
      <c r="F1040" s="12" t="inlineStr">
        <is>
          <t>Paid Search</t>
        </is>
      </c>
      <c r="G1040" s="12" t="inlineStr">
        <is>
          <t>Basic</t>
        </is>
      </c>
      <c r="H1040" s="12" t="n">
        <v>1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1</v>
      </c>
      <c r="N1040" s="12" t="n">
        <v>0</v>
      </c>
      <c r="O1040" s="12" t="n"/>
      <c r="P1040" s="12" t="n">
        <v>69.40000000000001</v>
      </c>
    </row>
    <row r="1041">
      <c r="A1041" s="12" t="inlineStr">
        <is>
          <t>USR-101040</t>
        </is>
      </c>
      <c r="B1041" s="29" t="n">
        <v>45691</v>
      </c>
      <c r="C1041" s="12" t="inlineStr">
        <is>
          <t>Treatment</t>
        </is>
      </c>
      <c r="D1041" s="12" t="inlineStr">
        <is>
          <t>North</t>
        </is>
      </c>
      <c r="E1041" s="12" t="inlineStr">
        <is>
          <t>Desktop</t>
        </is>
      </c>
      <c r="F1041" s="12" t="inlineStr">
        <is>
          <t>Organic</t>
        </is>
      </c>
      <c r="G1041" s="12" t="inlineStr">
        <is>
          <t>Basic</t>
        </is>
      </c>
      <c r="H1041" s="12" t="n">
        <v>1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/>
      <c r="P1041" s="12" t="n">
        <v>60.4</v>
      </c>
    </row>
    <row r="1042">
      <c r="A1042" s="12" t="inlineStr">
        <is>
          <t>USR-101041</t>
        </is>
      </c>
      <c r="B1042" s="29" t="n">
        <v>45793</v>
      </c>
      <c r="C1042" s="12" t="inlineStr">
        <is>
          <t>Treatment</t>
        </is>
      </c>
      <c r="D1042" s="12" t="inlineStr">
        <is>
          <t>East</t>
        </is>
      </c>
      <c r="E1042" s="12" t="inlineStr">
        <is>
          <t>Mobile</t>
        </is>
      </c>
      <c r="F1042" s="12" t="inlineStr">
        <is>
          <t>Referral</t>
        </is>
      </c>
      <c r="G1042" s="12" t="inlineStr">
        <is>
          <t>Free</t>
        </is>
      </c>
      <c r="H1042" s="12" t="n">
        <v>1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/>
      <c r="P1042" s="12" t="n">
        <v>45.7</v>
      </c>
    </row>
    <row r="1043">
      <c r="A1043" s="12" t="inlineStr">
        <is>
          <t>USR-101042</t>
        </is>
      </c>
      <c r="B1043" s="29" t="n">
        <v>45668</v>
      </c>
      <c r="C1043" s="12" t="inlineStr">
        <is>
          <t>Treatment</t>
        </is>
      </c>
      <c r="D1043" s="12" t="inlineStr">
        <is>
          <t>West</t>
        </is>
      </c>
      <c r="E1043" s="12" t="inlineStr">
        <is>
          <t>Mobile</t>
        </is>
      </c>
      <c r="F1043" s="12" t="inlineStr">
        <is>
          <t>Organic</t>
        </is>
      </c>
      <c r="G1043" s="12" t="inlineStr">
        <is>
          <t>Basic</t>
        </is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1</v>
      </c>
      <c r="N1043" s="12" t="n">
        <v>0</v>
      </c>
      <c r="O1043" s="12" t="n"/>
      <c r="P1043" s="12" t="n">
        <v>42.2</v>
      </c>
    </row>
    <row r="1044">
      <c r="A1044" s="12" t="inlineStr">
        <is>
          <t>USR-101043</t>
        </is>
      </c>
      <c r="B1044" s="29" t="n">
        <v>45802</v>
      </c>
      <c r="C1044" s="12" t="inlineStr">
        <is>
          <t>Treatment</t>
        </is>
      </c>
      <c r="D1044" s="12" t="inlineStr">
        <is>
          <t>North</t>
        </is>
      </c>
      <c r="E1044" s="12" t="inlineStr">
        <is>
          <t>Desktop</t>
        </is>
      </c>
      <c r="F1044" s="12" t="inlineStr">
        <is>
          <t>Organic</t>
        </is>
      </c>
      <c r="G1044" s="12" t="inlineStr">
        <is>
          <t>Free</t>
        </is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2</v>
      </c>
      <c r="N1044" s="12" t="n">
        <v>0</v>
      </c>
      <c r="O1044" s="12" t="n"/>
      <c r="P1044" s="12" t="n">
        <v>61.9</v>
      </c>
    </row>
    <row r="1045">
      <c r="A1045" s="12" t="inlineStr">
        <is>
          <t>USR-101044</t>
        </is>
      </c>
      <c r="B1045" s="29" t="n">
        <v>45785</v>
      </c>
      <c r="C1045" s="12" t="inlineStr">
        <is>
          <t>Treatment</t>
        </is>
      </c>
      <c r="D1045" s="12" t="inlineStr">
        <is>
          <t>East</t>
        </is>
      </c>
      <c r="E1045" s="12" t="inlineStr">
        <is>
          <t>Mobile</t>
        </is>
      </c>
      <c r="F1045" s="12" t="inlineStr">
        <is>
          <t>Paid Search</t>
        </is>
      </c>
      <c r="G1045" s="12" t="inlineStr">
        <is>
          <t>Premium</t>
        </is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/>
      <c r="P1045" s="12" t="n">
        <v>44.9</v>
      </c>
    </row>
    <row r="1046">
      <c r="A1046" s="12" t="inlineStr">
        <is>
          <t>USR-101045</t>
        </is>
      </c>
      <c r="B1046" s="29" t="n">
        <v>45714</v>
      </c>
      <c r="C1046" s="12" t="inlineStr">
        <is>
          <t>Treatment</t>
        </is>
      </c>
      <c r="D1046" s="12" t="inlineStr">
        <is>
          <t>East</t>
        </is>
      </c>
      <c r="E1046" s="12" t="inlineStr">
        <is>
          <t>Desktop</t>
        </is>
      </c>
      <c r="F1046" s="12" t="n"/>
      <c r="G1046" s="12" t="inlineStr">
        <is>
          <t>Basic</t>
        </is>
      </c>
      <c r="H1046" s="12" t="n">
        <v>1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/>
      <c r="P1046" s="12" t="n">
        <v>68</v>
      </c>
    </row>
    <row r="1047">
      <c r="A1047" s="12" t="inlineStr">
        <is>
          <t>USR-101046</t>
        </is>
      </c>
      <c r="B1047" s="29" t="n">
        <v>45746</v>
      </c>
      <c r="C1047" s="12" t="inlineStr">
        <is>
          <t>Treatment</t>
        </is>
      </c>
      <c r="D1047" s="12" t="inlineStr">
        <is>
          <t>North</t>
        </is>
      </c>
      <c r="E1047" s="12" t="inlineStr">
        <is>
          <t>Mobile</t>
        </is>
      </c>
      <c r="F1047" s="12" t="inlineStr">
        <is>
          <t>Paid Search</t>
        </is>
      </c>
      <c r="G1047" s="12" t="inlineStr">
        <is>
          <t>Free</t>
        </is>
      </c>
      <c r="H1047" s="12" t="n">
        <v>1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/>
      <c r="P1047" s="12" t="n">
        <v>61</v>
      </c>
    </row>
    <row r="1048">
      <c r="A1048" s="12" t="inlineStr">
        <is>
          <t>USR-101047</t>
        </is>
      </c>
      <c r="B1048" s="29" t="n">
        <v>45760</v>
      </c>
      <c r="C1048" s="12" t="inlineStr">
        <is>
          <t>Treatment</t>
        </is>
      </c>
      <c r="D1048" s="12" t="inlineStr">
        <is>
          <t>West</t>
        </is>
      </c>
      <c r="E1048" s="12" t="inlineStr">
        <is>
          <t>Mobile</t>
        </is>
      </c>
      <c r="F1048" s="12" t="inlineStr">
        <is>
          <t>Organic</t>
        </is>
      </c>
      <c r="G1048" s="12" t="inlineStr">
        <is>
          <t>Basic</t>
        </is>
      </c>
      <c r="H1048" s="12" t="n">
        <v>1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/>
      <c r="P1048" s="12" t="n">
        <v>55</v>
      </c>
    </row>
    <row r="1049">
      <c r="A1049" s="12" t="inlineStr">
        <is>
          <t>USR-101048</t>
        </is>
      </c>
      <c r="B1049" s="29" t="n">
        <v>45708</v>
      </c>
      <c r="C1049" s="12" t="inlineStr">
        <is>
          <t>Treatment</t>
        </is>
      </c>
      <c r="D1049" s="12" t="inlineStr">
        <is>
          <t>East</t>
        </is>
      </c>
      <c r="E1049" s="12" t="n"/>
      <c r="F1049" s="12" t="inlineStr">
        <is>
          <t>Paid Search</t>
        </is>
      </c>
      <c r="G1049" s="12" t="inlineStr">
        <is>
          <t>Basic</t>
        </is>
      </c>
      <c r="H1049" s="12" t="n">
        <v>1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/>
      <c r="P1049" s="12" t="n">
        <v>63.1</v>
      </c>
    </row>
    <row r="1050">
      <c r="A1050" s="12" t="inlineStr">
        <is>
          <t>USR-101049</t>
        </is>
      </c>
      <c r="B1050" s="29" t="n">
        <v>45766</v>
      </c>
      <c r="C1050" s="12" t="inlineStr">
        <is>
          <t>Treatment</t>
        </is>
      </c>
      <c r="D1050" s="12" t="inlineStr">
        <is>
          <t>West</t>
        </is>
      </c>
      <c r="E1050" s="12" t="inlineStr">
        <is>
          <t>Desktop</t>
        </is>
      </c>
      <c r="F1050" s="12" t="inlineStr">
        <is>
          <t>Social</t>
        </is>
      </c>
      <c r="G1050" s="12" t="inlineStr">
        <is>
          <t>Free</t>
        </is>
      </c>
      <c r="H1050" s="12" t="n">
        <v>1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/>
      <c r="P1050" s="12" t="n">
        <v>75.8</v>
      </c>
    </row>
    <row r="1051">
      <c r="A1051" s="12" t="inlineStr">
        <is>
          <t>USR-101050</t>
        </is>
      </c>
      <c r="B1051" s="29" t="n">
        <v>45738</v>
      </c>
      <c r="C1051" s="12" t="inlineStr">
        <is>
          <t>Treatment</t>
        </is>
      </c>
      <c r="D1051" s="12" t="inlineStr">
        <is>
          <t>South</t>
        </is>
      </c>
      <c r="E1051" s="12" t="inlineStr">
        <is>
          <t>Mobile</t>
        </is>
      </c>
      <c r="F1051" s="12" t="inlineStr">
        <is>
          <t>Paid Search</t>
        </is>
      </c>
      <c r="G1051" s="12" t="inlineStr">
        <is>
          <t>Free</t>
        </is>
      </c>
      <c r="H1051" s="12" t="n">
        <v>1</v>
      </c>
      <c r="I1051" s="12" t="n">
        <v>1</v>
      </c>
      <c r="J1051" s="12" t="n">
        <v>0</v>
      </c>
      <c r="K1051" s="12" t="n">
        <v>0</v>
      </c>
      <c r="L1051" s="12" t="n">
        <v>0</v>
      </c>
      <c r="M1051" s="12" t="n">
        <v>1</v>
      </c>
      <c r="N1051" s="12" t="n">
        <v>0</v>
      </c>
      <c r="O1051" s="12" t="n"/>
      <c r="P1051" s="12" t="n">
        <v>43.8</v>
      </c>
    </row>
    <row r="1052">
      <c r="A1052" s="12" t="inlineStr">
        <is>
          <t>USR-101051</t>
        </is>
      </c>
      <c r="B1052" s="29" t="n">
        <v>45716</v>
      </c>
      <c r="C1052" s="12" t="inlineStr">
        <is>
          <t>Treatment</t>
        </is>
      </c>
      <c r="D1052" s="12" t="inlineStr">
        <is>
          <t>North</t>
        </is>
      </c>
      <c r="E1052" s="12" t="inlineStr">
        <is>
          <t>Mobile</t>
        </is>
      </c>
      <c r="F1052" s="12" t="inlineStr">
        <is>
          <t>Email</t>
        </is>
      </c>
      <c r="G1052" s="12" t="inlineStr">
        <is>
          <t>Basic</t>
        </is>
      </c>
      <c r="H1052" s="12" t="n">
        <v>1</v>
      </c>
      <c r="I1052" s="12" t="n">
        <v>1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/>
      <c r="P1052" s="12" t="n">
        <v>46.8</v>
      </c>
    </row>
    <row r="1053">
      <c r="A1053" s="12" t="inlineStr">
        <is>
          <t>USR-101052</t>
        </is>
      </c>
      <c r="B1053" s="29" t="n">
        <v>45801</v>
      </c>
      <c r="C1053" s="12" t="inlineStr">
        <is>
          <t>Treatment</t>
        </is>
      </c>
      <c r="D1053" s="12" t="inlineStr">
        <is>
          <t>East</t>
        </is>
      </c>
      <c r="E1053" s="12" t="inlineStr">
        <is>
          <t>Mobile</t>
        </is>
      </c>
      <c r="F1053" s="12" t="inlineStr">
        <is>
          <t>Social</t>
        </is>
      </c>
      <c r="G1053" s="12" t="inlineStr">
        <is>
          <t>Free</t>
        </is>
      </c>
      <c r="H1053" s="12" t="n">
        <v>1</v>
      </c>
      <c r="I1053" s="12" t="n">
        <v>1</v>
      </c>
      <c r="J1053" s="12" t="n">
        <v>1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/>
      <c r="P1053" s="12" t="n">
        <v>97.40000000000001</v>
      </c>
    </row>
    <row r="1054">
      <c r="A1054" s="12" t="inlineStr">
        <is>
          <t>USR-101053</t>
        </is>
      </c>
      <c r="B1054" s="29" t="n">
        <v>45691</v>
      </c>
      <c r="C1054" s="12" t="inlineStr">
        <is>
          <t>Treatment</t>
        </is>
      </c>
      <c r="D1054" s="12" t="inlineStr">
        <is>
          <t>North</t>
        </is>
      </c>
      <c r="E1054" s="12" t="inlineStr">
        <is>
          <t>Desktop</t>
        </is>
      </c>
      <c r="F1054" s="12" t="inlineStr">
        <is>
          <t>Email</t>
        </is>
      </c>
      <c r="G1054" s="12" t="inlineStr">
        <is>
          <t>Free</t>
        </is>
      </c>
      <c r="H1054" s="12" t="n">
        <v>1</v>
      </c>
      <c r="I1054" s="12" t="n">
        <v>1</v>
      </c>
      <c r="J1054" s="12" t="n">
        <v>1</v>
      </c>
      <c r="K1054" s="12" t="n">
        <v>1</v>
      </c>
      <c r="L1054" s="12" t="n">
        <v>268.96</v>
      </c>
      <c r="M1054" s="12" t="n">
        <v>0</v>
      </c>
      <c r="N1054" s="12" t="n">
        <v>0</v>
      </c>
      <c r="O1054" s="12" t="n">
        <v>14</v>
      </c>
      <c r="P1054" s="12" t="n">
        <v>81</v>
      </c>
    </row>
    <row r="1055">
      <c r="A1055" s="12" t="inlineStr">
        <is>
          <t>USR-101054</t>
        </is>
      </c>
      <c r="B1055" s="29" t="n">
        <v>45684</v>
      </c>
      <c r="C1055" s="12" t="inlineStr">
        <is>
          <t>Treatment</t>
        </is>
      </c>
      <c r="D1055" s="12" t="inlineStr">
        <is>
          <t>South</t>
        </is>
      </c>
      <c r="E1055" s="12" t="inlineStr">
        <is>
          <t>Mobile</t>
        </is>
      </c>
      <c r="F1055" s="12" t="inlineStr">
        <is>
          <t>Organic</t>
        </is>
      </c>
      <c r="G1055" s="12" t="inlineStr">
        <is>
          <t>Free</t>
        </is>
      </c>
      <c r="H1055" s="12" t="n">
        <v>1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1</v>
      </c>
      <c r="N1055" s="12" t="n">
        <v>0</v>
      </c>
      <c r="O1055" s="12" t="n"/>
      <c r="P1055" s="12" t="n">
        <v>58.9</v>
      </c>
    </row>
    <row r="1056">
      <c r="A1056" s="12" t="inlineStr">
        <is>
          <t>USR-101055</t>
        </is>
      </c>
      <c r="B1056" s="29" t="n">
        <v>45764</v>
      </c>
      <c r="C1056" s="12" t="inlineStr">
        <is>
          <t>Treatment</t>
        </is>
      </c>
      <c r="D1056" s="12" t="inlineStr">
        <is>
          <t>East</t>
        </is>
      </c>
      <c r="E1056" s="12" t="inlineStr">
        <is>
          <t>Mobile</t>
        </is>
      </c>
      <c r="F1056" s="12" t="inlineStr">
        <is>
          <t>Organic</t>
        </is>
      </c>
      <c r="G1056" s="12" t="inlineStr">
        <is>
          <t>Free</t>
        </is>
      </c>
      <c r="H1056" s="12" t="n">
        <v>1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/>
      <c r="P1056" s="12" t="n">
        <v>51.9</v>
      </c>
    </row>
    <row r="1057">
      <c r="A1057" s="12" t="inlineStr">
        <is>
          <t>USR-101056</t>
        </is>
      </c>
      <c r="B1057" s="29" t="n">
        <v>45694</v>
      </c>
      <c r="C1057" s="12" t="inlineStr">
        <is>
          <t>Treatment</t>
        </is>
      </c>
      <c r="D1057" s="12" t="inlineStr">
        <is>
          <t>West</t>
        </is>
      </c>
      <c r="E1057" s="12" t="inlineStr">
        <is>
          <t>Mobile</t>
        </is>
      </c>
      <c r="F1057" s="12" t="inlineStr">
        <is>
          <t>Social</t>
        </is>
      </c>
      <c r="G1057" s="12" t="inlineStr">
        <is>
          <t>Free</t>
        </is>
      </c>
      <c r="H1057" s="12" t="n">
        <v>1</v>
      </c>
      <c r="I1057" s="12" t="n">
        <v>1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/>
      <c r="P1057" s="12" t="n">
        <v>61.7</v>
      </c>
    </row>
    <row r="1058">
      <c r="A1058" s="12" t="inlineStr">
        <is>
          <t>USR-101057</t>
        </is>
      </c>
      <c r="B1058" s="29" t="n">
        <v>45767</v>
      </c>
      <c r="C1058" s="12" t="inlineStr">
        <is>
          <t>Treatment</t>
        </is>
      </c>
      <c r="D1058" s="12" t="inlineStr">
        <is>
          <t>South</t>
        </is>
      </c>
      <c r="E1058" s="12" t="inlineStr">
        <is>
          <t>Mobile</t>
        </is>
      </c>
      <c r="F1058" s="12" t="inlineStr">
        <is>
          <t>Paid Search</t>
        </is>
      </c>
      <c r="G1058" s="12" t="inlineStr">
        <is>
          <t>Free</t>
        </is>
      </c>
      <c r="H1058" s="12" t="n">
        <v>1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/>
      <c r="P1058" s="12" t="n">
        <v>44.7</v>
      </c>
    </row>
    <row r="1059">
      <c r="A1059" s="12" t="inlineStr">
        <is>
          <t>USR-101058</t>
        </is>
      </c>
      <c r="B1059" s="29" t="n">
        <v>45783</v>
      </c>
      <c r="C1059" s="12" t="inlineStr">
        <is>
          <t>Treatment</t>
        </is>
      </c>
      <c r="D1059" s="12" t="inlineStr">
        <is>
          <t>North</t>
        </is>
      </c>
      <c r="E1059" s="12" t="inlineStr">
        <is>
          <t>Mobile</t>
        </is>
      </c>
      <c r="F1059" s="12" t="inlineStr">
        <is>
          <t>Paid Search</t>
        </is>
      </c>
      <c r="G1059" s="12" t="inlineStr">
        <is>
          <t>Basic</t>
        </is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/>
      <c r="P1059" s="12" t="n">
        <v>63.2</v>
      </c>
    </row>
    <row r="1060">
      <c r="A1060" s="12" t="inlineStr">
        <is>
          <t>USR-101059</t>
        </is>
      </c>
      <c r="B1060" s="29" t="n">
        <v>45793</v>
      </c>
      <c r="C1060" s="12" t="inlineStr">
        <is>
          <t>Treatment</t>
        </is>
      </c>
      <c r="D1060" s="12" t="inlineStr">
        <is>
          <t>South</t>
        </is>
      </c>
      <c r="E1060" s="12" t="inlineStr">
        <is>
          <t>Mobile</t>
        </is>
      </c>
      <c r="F1060" s="12" t="inlineStr">
        <is>
          <t>Organic</t>
        </is>
      </c>
      <c r="G1060" s="12" t="inlineStr">
        <is>
          <t>Free</t>
        </is>
      </c>
      <c r="H1060" s="12" t="n">
        <v>1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/>
      <c r="P1060" s="12" t="n">
        <v>70.3</v>
      </c>
    </row>
    <row r="1061">
      <c r="A1061" s="12" t="inlineStr">
        <is>
          <t>USR-101060</t>
        </is>
      </c>
      <c r="B1061" s="29" t="n">
        <v>45718</v>
      </c>
      <c r="C1061" s="12" t="inlineStr">
        <is>
          <t>Treatment</t>
        </is>
      </c>
      <c r="D1061" s="12" t="inlineStr">
        <is>
          <t>South</t>
        </is>
      </c>
      <c r="E1061" s="12" t="inlineStr">
        <is>
          <t>Mobile</t>
        </is>
      </c>
      <c r="F1061" s="12" t="inlineStr">
        <is>
          <t>Paid Search</t>
        </is>
      </c>
      <c r="G1061" s="12" t="inlineStr">
        <is>
          <t>Premium</t>
        </is>
      </c>
      <c r="H1061" s="12" t="n">
        <v>1</v>
      </c>
      <c r="I1061" s="12" t="n">
        <v>1</v>
      </c>
      <c r="J1061" s="12" t="n">
        <v>0</v>
      </c>
      <c r="K1061" s="12" t="n">
        <v>0</v>
      </c>
      <c r="L1061" s="12" t="n">
        <v>0</v>
      </c>
      <c r="M1061" s="12" t="n">
        <v>1</v>
      </c>
      <c r="N1061" s="12" t="n">
        <v>0</v>
      </c>
      <c r="O1061" s="12" t="n"/>
      <c r="P1061" s="12" t="n">
        <v>83.09999999999999</v>
      </c>
    </row>
    <row r="1062">
      <c r="A1062" s="12" t="inlineStr">
        <is>
          <t>USR-101061</t>
        </is>
      </c>
      <c r="B1062" s="29" t="n">
        <v>45756</v>
      </c>
      <c r="C1062" s="12" t="inlineStr">
        <is>
          <t>Treatment</t>
        </is>
      </c>
      <c r="D1062" s="12" t="inlineStr">
        <is>
          <t>West</t>
        </is>
      </c>
      <c r="E1062" s="12" t="inlineStr">
        <is>
          <t>Mobile</t>
        </is>
      </c>
      <c r="F1062" s="12" t="inlineStr">
        <is>
          <t>Social</t>
        </is>
      </c>
      <c r="G1062" s="12" t="inlineStr">
        <is>
          <t>Free</t>
        </is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/>
      <c r="P1062" s="12" t="n">
        <v>50.3</v>
      </c>
    </row>
    <row r="1063">
      <c r="A1063" s="12" t="inlineStr">
        <is>
          <t>USR-101062</t>
        </is>
      </c>
      <c r="B1063" s="29" t="n">
        <v>45683</v>
      </c>
      <c r="C1063" s="12" t="inlineStr">
        <is>
          <t>Treatment</t>
        </is>
      </c>
      <c r="D1063" s="12" t="inlineStr">
        <is>
          <t>East</t>
        </is>
      </c>
      <c r="E1063" s="12" t="inlineStr">
        <is>
          <t>Mobile</t>
        </is>
      </c>
      <c r="F1063" s="12" t="inlineStr">
        <is>
          <t>Paid Search</t>
        </is>
      </c>
      <c r="G1063" s="12" t="inlineStr">
        <is>
          <t>Free</t>
        </is>
      </c>
      <c r="H1063" s="12" t="n">
        <v>1</v>
      </c>
      <c r="I1063" s="12" t="n">
        <v>1</v>
      </c>
      <c r="J1063" s="12" t="n">
        <v>1</v>
      </c>
      <c r="K1063" s="12" t="n">
        <v>1</v>
      </c>
      <c r="L1063" s="12" t="n">
        <v>437.09</v>
      </c>
      <c r="M1063" s="12" t="n">
        <v>2</v>
      </c>
      <c r="N1063" s="12" t="n">
        <v>1</v>
      </c>
      <c r="O1063" s="12" t="n">
        <v>1</v>
      </c>
      <c r="P1063" s="12" t="n">
        <v>58.2</v>
      </c>
    </row>
    <row r="1064">
      <c r="A1064" s="12" t="inlineStr">
        <is>
          <t>USR-101063</t>
        </is>
      </c>
      <c r="B1064" s="29" t="n">
        <v>45713</v>
      </c>
      <c r="C1064" s="12" t="inlineStr">
        <is>
          <t>Treatment</t>
        </is>
      </c>
      <c r="D1064" s="12" t="inlineStr">
        <is>
          <t>South</t>
        </is>
      </c>
      <c r="E1064" s="12" t="inlineStr">
        <is>
          <t>Mobile</t>
        </is>
      </c>
      <c r="F1064" s="12" t="inlineStr">
        <is>
          <t>Paid Search</t>
        </is>
      </c>
      <c r="G1064" s="12" t="inlineStr">
        <is>
          <t>Basic</t>
        </is>
      </c>
      <c r="H1064" s="12" t="n">
        <v>1</v>
      </c>
      <c r="I1064" s="12" t="n">
        <v>1</v>
      </c>
      <c r="J1064" s="12" t="n">
        <v>1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/>
      <c r="P1064" s="12" t="n">
        <v>53.2</v>
      </c>
    </row>
    <row r="1065">
      <c r="A1065" s="12" t="inlineStr">
        <is>
          <t>USR-101064</t>
        </is>
      </c>
      <c r="B1065" s="29" t="n">
        <v>45664</v>
      </c>
      <c r="C1065" s="12" t="inlineStr">
        <is>
          <t>Treatment</t>
        </is>
      </c>
      <c r="D1065" s="12" t="inlineStr">
        <is>
          <t>East</t>
        </is>
      </c>
      <c r="E1065" s="12" t="inlineStr">
        <is>
          <t>Mobile</t>
        </is>
      </c>
      <c r="F1065" s="12" t="inlineStr">
        <is>
          <t>Organic</t>
        </is>
      </c>
      <c r="G1065" s="12" t="inlineStr">
        <is>
          <t>Premium</t>
        </is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/>
      <c r="P1065" s="12" t="n">
        <v>36.4</v>
      </c>
    </row>
    <row r="1066">
      <c r="A1066" s="12" t="inlineStr">
        <is>
          <t>USR-101065</t>
        </is>
      </c>
      <c r="B1066" s="29" t="n">
        <v>45724</v>
      </c>
      <c r="C1066" s="12" t="inlineStr">
        <is>
          <t>Treatment</t>
        </is>
      </c>
      <c r="D1066" s="12" t="inlineStr">
        <is>
          <t>South</t>
        </is>
      </c>
      <c r="E1066" s="12" t="inlineStr">
        <is>
          <t>Mobile</t>
        </is>
      </c>
      <c r="F1066" s="12" t="inlineStr">
        <is>
          <t>Social</t>
        </is>
      </c>
      <c r="G1066" s="12" t="inlineStr">
        <is>
          <t>Basic</t>
        </is>
      </c>
      <c r="H1066" s="12" t="n">
        <v>1</v>
      </c>
      <c r="I1066" s="12" t="n">
        <v>1</v>
      </c>
      <c r="J1066" s="12" t="n">
        <v>1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/>
      <c r="P1066" s="12" t="n">
        <v>72.7</v>
      </c>
    </row>
    <row r="1067">
      <c r="A1067" s="12" t="inlineStr">
        <is>
          <t>USR-101066</t>
        </is>
      </c>
      <c r="B1067" s="29" t="n">
        <v>45799</v>
      </c>
      <c r="C1067" s="12" t="inlineStr">
        <is>
          <t>Treatment</t>
        </is>
      </c>
      <c r="D1067" s="12" t="inlineStr">
        <is>
          <t>East</t>
        </is>
      </c>
      <c r="E1067" s="12" t="inlineStr">
        <is>
          <t>Mobile</t>
        </is>
      </c>
      <c r="F1067" s="12" t="inlineStr">
        <is>
          <t>Referral</t>
        </is>
      </c>
      <c r="G1067" s="12" t="inlineStr">
        <is>
          <t>Free</t>
        </is>
      </c>
      <c r="H1067" s="12" t="n">
        <v>1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1</v>
      </c>
      <c r="N1067" s="12" t="n">
        <v>0</v>
      </c>
      <c r="O1067" s="12" t="n"/>
      <c r="P1067" s="12" t="n">
        <v>86.7</v>
      </c>
    </row>
    <row r="1068">
      <c r="A1068" s="12" t="inlineStr">
        <is>
          <t>USR-101067</t>
        </is>
      </c>
      <c r="B1068" s="29" t="n">
        <v>45765</v>
      </c>
      <c r="C1068" s="12" t="inlineStr">
        <is>
          <t>Treatment</t>
        </is>
      </c>
      <c r="D1068" s="12" t="inlineStr">
        <is>
          <t>East</t>
        </is>
      </c>
      <c r="E1068" s="12" t="inlineStr">
        <is>
          <t>Mobile</t>
        </is>
      </c>
      <c r="F1068" s="12" t="inlineStr">
        <is>
          <t>Paid Search</t>
        </is>
      </c>
      <c r="G1068" s="12" t="inlineStr">
        <is>
          <t>Premium</t>
        </is>
      </c>
      <c r="H1068" s="12" t="n">
        <v>1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/>
      <c r="P1068" s="12" t="n">
        <v>48.2</v>
      </c>
    </row>
    <row r="1069">
      <c r="A1069" s="12" t="inlineStr">
        <is>
          <t>USR-101068</t>
        </is>
      </c>
      <c r="B1069" s="29" t="n">
        <v>45712</v>
      </c>
      <c r="C1069" s="12" t="inlineStr">
        <is>
          <t>Treatment</t>
        </is>
      </c>
      <c r="D1069" s="12" t="inlineStr">
        <is>
          <t>West</t>
        </is>
      </c>
      <c r="E1069" s="12" t="inlineStr">
        <is>
          <t>Mobile</t>
        </is>
      </c>
      <c r="F1069" s="12" t="inlineStr">
        <is>
          <t>Referral</t>
        </is>
      </c>
      <c r="G1069" s="12" t="inlineStr">
        <is>
          <t>Basic</t>
        </is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1</v>
      </c>
      <c r="N1069" s="12" t="n">
        <v>0</v>
      </c>
      <c r="O1069" s="12" t="n"/>
      <c r="P1069" s="12" t="n">
        <v>57.6</v>
      </c>
    </row>
    <row r="1070">
      <c r="A1070" s="12" t="inlineStr">
        <is>
          <t>USR-101069</t>
        </is>
      </c>
      <c r="B1070" s="29" t="n">
        <v>45699</v>
      </c>
      <c r="C1070" s="12" t="inlineStr">
        <is>
          <t>Treatment</t>
        </is>
      </c>
      <c r="D1070" s="12" t="inlineStr">
        <is>
          <t>North</t>
        </is>
      </c>
      <c r="E1070" s="12" t="inlineStr">
        <is>
          <t>Mobile</t>
        </is>
      </c>
      <c r="F1070" s="12" t="inlineStr">
        <is>
          <t>Organic</t>
        </is>
      </c>
      <c r="G1070" s="12" t="inlineStr">
        <is>
          <t>Free</t>
        </is>
      </c>
      <c r="H1070" s="12" t="n">
        <v>1</v>
      </c>
      <c r="I1070" s="12" t="n">
        <v>1</v>
      </c>
      <c r="J1070" s="12" t="n">
        <v>1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/>
      <c r="P1070" s="12" t="n">
        <v>75.7</v>
      </c>
    </row>
    <row r="1071">
      <c r="A1071" s="12" t="inlineStr">
        <is>
          <t>USR-101070</t>
        </is>
      </c>
      <c r="B1071" s="29" t="n">
        <v>45727</v>
      </c>
      <c r="C1071" s="12" t="inlineStr">
        <is>
          <t>Treatment</t>
        </is>
      </c>
      <c r="D1071" s="12" t="inlineStr">
        <is>
          <t>West</t>
        </is>
      </c>
      <c r="E1071" s="12" t="inlineStr">
        <is>
          <t>Desktop</t>
        </is>
      </c>
      <c r="F1071" s="12" t="inlineStr">
        <is>
          <t>Paid Search</t>
        </is>
      </c>
      <c r="G1071" s="12" t="inlineStr">
        <is>
          <t>Free</t>
        </is>
      </c>
      <c r="H1071" s="12" t="n">
        <v>1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2</v>
      </c>
      <c r="N1071" s="12" t="n">
        <v>0</v>
      </c>
      <c r="O1071" s="12" t="n"/>
      <c r="P1071" s="12" t="n">
        <v>48.6</v>
      </c>
    </row>
    <row r="1072">
      <c r="A1072" s="12" t="inlineStr">
        <is>
          <t>USR-101071</t>
        </is>
      </c>
      <c r="B1072" s="29" t="n">
        <v>45758</v>
      </c>
      <c r="C1072" s="12" t="inlineStr">
        <is>
          <t>Treatment</t>
        </is>
      </c>
      <c r="D1072" s="12" t="inlineStr">
        <is>
          <t>East</t>
        </is>
      </c>
      <c r="E1072" s="12" t="inlineStr">
        <is>
          <t>Tablet</t>
        </is>
      </c>
      <c r="F1072" s="12" t="inlineStr">
        <is>
          <t>Referral</t>
        </is>
      </c>
      <c r="G1072" s="12" t="inlineStr">
        <is>
          <t>Free</t>
        </is>
      </c>
      <c r="H1072" s="12" t="n">
        <v>1</v>
      </c>
      <c r="I1072" s="12" t="n">
        <v>1</v>
      </c>
      <c r="J1072" s="12" t="n">
        <v>1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/>
      <c r="P1072" s="12" t="n">
        <v>72</v>
      </c>
    </row>
    <row r="1073">
      <c r="A1073" s="12" t="inlineStr">
        <is>
          <t>USR-101072</t>
        </is>
      </c>
      <c r="B1073" s="29" t="n">
        <v>45727</v>
      </c>
      <c r="C1073" s="12" t="inlineStr">
        <is>
          <t>Treatment</t>
        </is>
      </c>
      <c r="D1073" s="12" t="inlineStr">
        <is>
          <t>North</t>
        </is>
      </c>
      <c r="E1073" s="12" t="inlineStr">
        <is>
          <t>Mobile</t>
        </is>
      </c>
      <c r="F1073" s="12" t="inlineStr">
        <is>
          <t>Organic</t>
        </is>
      </c>
      <c r="G1073" s="12" t="inlineStr">
        <is>
          <t>Free</t>
        </is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/>
      <c r="P1073" s="12" t="n">
        <v>72.2</v>
      </c>
    </row>
    <row r="1074">
      <c r="A1074" s="12" t="inlineStr">
        <is>
          <t>USR-101073</t>
        </is>
      </c>
      <c r="B1074" s="29" t="n">
        <v>45799</v>
      </c>
      <c r="C1074" s="12" t="inlineStr">
        <is>
          <t>Treatment</t>
        </is>
      </c>
      <c r="D1074" s="12" t="inlineStr">
        <is>
          <t>East</t>
        </is>
      </c>
      <c r="E1074" s="12" t="inlineStr">
        <is>
          <t>Mobile</t>
        </is>
      </c>
      <c r="F1074" s="12" t="inlineStr">
        <is>
          <t>Referral</t>
        </is>
      </c>
      <c r="G1074" s="12" t="inlineStr">
        <is>
          <t>Free</t>
        </is>
      </c>
      <c r="H1074" s="12" t="n">
        <v>1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1</v>
      </c>
      <c r="N1074" s="12" t="n">
        <v>0</v>
      </c>
      <c r="O1074" s="12" t="n"/>
      <c r="P1074" s="12" t="n"/>
    </row>
    <row r="1075">
      <c r="A1075" s="12" t="inlineStr">
        <is>
          <t>USR-101074</t>
        </is>
      </c>
      <c r="B1075" s="29" t="n">
        <v>45710</v>
      </c>
      <c r="C1075" s="12" t="inlineStr">
        <is>
          <t>Treatment</t>
        </is>
      </c>
      <c r="D1075" s="12" t="inlineStr">
        <is>
          <t>South</t>
        </is>
      </c>
      <c r="E1075" s="12" t="inlineStr">
        <is>
          <t>Desktop</t>
        </is>
      </c>
      <c r="F1075" s="12" t="inlineStr">
        <is>
          <t>Organic</t>
        </is>
      </c>
      <c r="G1075" s="12" t="inlineStr">
        <is>
          <t>Free</t>
        </is>
      </c>
      <c r="H1075" s="12" t="n">
        <v>1</v>
      </c>
      <c r="I1075" s="12" t="n">
        <v>1</v>
      </c>
      <c r="J1075" s="12" t="n">
        <v>1</v>
      </c>
      <c r="K1075" s="12" t="n">
        <v>1</v>
      </c>
      <c r="L1075" s="12" t="n">
        <v>331.53</v>
      </c>
      <c r="M1075" s="12" t="n">
        <v>2</v>
      </c>
      <c r="N1075" s="12" t="n">
        <v>0</v>
      </c>
      <c r="O1075" s="12" t="n">
        <v>4</v>
      </c>
      <c r="P1075" s="12" t="n">
        <v>56.8</v>
      </c>
    </row>
    <row r="1076">
      <c r="A1076" s="12" t="inlineStr">
        <is>
          <t>USR-101075</t>
        </is>
      </c>
      <c r="B1076" s="29" t="n">
        <v>45670</v>
      </c>
      <c r="C1076" s="12" t="inlineStr">
        <is>
          <t>Treatment</t>
        </is>
      </c>
      <c r="D1076" s="12" t="inlineStr">
        <is>
          <t>East</t>
        </is>
      </c>
      <c r="E1076" s="12" t="inlineStr">
        <is>
          <t>Mobile</t>
        </is>
      </c>
      <c r="F1076" s="12" t="inlineStr">
        <is>
          <t>Paid Search</t>
        </is>
      </c>
      <c r="G1076" s="12" t="inlineStr">
        <is>
          <t>Basic</t>
        </is>
      </c>
      <c r="H1076" s="12" t="n">
        <v>1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/>
      <c r="P1076" s="12" t="n">
        <v>62.5</v>
      </c>
    </row>
    <row r="1077">
      <c r="A1077" s="12" t="inlineStr">
        <is>
          <t>USR-101076</t>
        </is>
      </c>
      <c r="B1077" s="29" t="n">
        <v>45796</v>
      </c>
      <c r="C1077" s="12" t="inlineStr">
        <is>
          <t>Treatment</t>
        </is>
      </c>
      <c r="D1077" s="12" t="inlineStr">
        <is>
          <t>South</t>
        </is>
      </c>
      <c r="E1077" s="12" t="inlineStr">
        <is>
          <t>Mobile</t>
        </is>
      </c>
      <c r="F1077" s="12" t="inlineStr">
        <is>
          <t>Organic</t>
        </is>
      </c>
      <c r="G1077" s="12" t="inlineStr">
        <is>
          <t>Free</t>
        </is>
      </c>
      <c r="H1077" s="12" t="n">
        <v>1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/>
      <c r="P1077" s="12" t="n">
        <v>63.4</v>
      </c>
    </row>
    <row r="1078">
      <c r="A1078" s="12" t="inlineStr">
        <is>
          <t>USR-101077</t>
        </is>
      </c>
      <c r="B1078" s="29" t="n">
        <v>45724</v>
      </c>
      <c r="C1078" s="12" t="inlineStr">
        <is>
          <t>Treatment</t>
        </is>
      </c>
      <c r="D1078" s="12" t="inlineStr">
        <is>
          <t>North</t>
        </is>
      </c>
      <c r="E1078" s="12" t="inlineStr">
        <is>
          <t>Tablet</t>
        </is>
      </c>
      <c r="F1078" s="12" t="inlineStr">
        <is>
          <t>Organic</t>
        </is>
      </c>
      <c r="G1078" s="12" t="inlineStr">
        <is>
          <t>Basic</t>
        </is>
      </c>
      <c r="H1078" s="12" t="n">
        <v>1</v>
      </c>
      <c r="I1078" s="12" t="n">
        <v>1</v>
      </c>
      <c r="J1078" s="12" t="n">
        <v>1</v>
      </c>
      <c r="K1078" s="12" t="n">
        <v>1</v>
      </c>
      <c r="L1078" s="12" t="n">
        <v>774.78</v>
      </c>
      <c r="M1078" s="12" t="n">
        <v>0</v>
      </c>
      <c r="N1078" s="12" t="n">
        <v>0</v>
      </c>
      <c r="O1078" s="12" t="n">
        <v>3</v>
      </c>
      <c r="P1078" s="12" t="n">
        <v>46.8</v>
      </c>
    </row>
    <row r="1079">
      <c r="A1079" s="12" t="inlineStr">
        <is>
          <t>USR-101078</t>
        </is>
      </c>
      <c r="B1079" s="29" t="n">
        <v>45767</v>
      </c>
      <c r="C1079" s="12" t="inlineStr">
        <is>
          <t>Treatment</t>
        </is>
      </c>
      <c r="D1079" s="12" t="inlineStr">
        <is>
          <t>South</t>
        </is>
      </c>
      <c r="E1079" s="12" t="inlineStr">
        <is>
          <t>Mobile</t>
        </is>
      </c>
      <c r="F1079" s="12" t="inlineStr">
        <is>
          <t>Organic</t>
        </is>
      </c>
      <c r="G1079" s="12" t="inlineStr">
        <is>
          <t>Free</t>
        </is>
      </c>
      <c r="H1079" s="12" t="n">
        <v>1</v>
      </c>
      <c r="I1079" s="12" t="n">
        <v>1</v>
      </c>
      <c r="J1079" s="12" t="n">
        <v>1</v>
      </c>
      <c r="K1079" s="12" t="n">
        <v>1</v>
      </c>
      <c r="L1079" s="12" t="n">
        <v>422.02</v>
      </c>
      <c r="M1079" s="12" t="n">
        <v>0</v>
      </c>
      <c r="N1079" s="12" t="n">
        <v>0</v>
      </c>
      <c r="O1079" s="12" t="n">
        <v>8</v>
      </c>
      <c r="P1079" s="12" t="n">
        <v>86.5</v>
      </c>
    </row>
    <row r="1080">
      <c r="A1080" s="12" t="inlineStr">
        <is>
          <t>USR-101079</t>
        </is>
      </c>
      <c r="B1080" s="29" t="n">
        <v>45785</v>
      </c>
      <c r="C1080" s="12" t="inlineStr">
        <is>
          <t>Treatment</t>
        </is>
      </c>
      <c r="D1080" s="12" t="inlineStr">
        <is>
          <t>West</t>
        </is>
      </c>
      <c r="E1080" s="12" t="inlineStr">
        <is>
          <t>Mobile</t>
        </is>
      </c>
      <c r="F1080" s="12" t="inlineStr">
        <is>
          <t>Email</t>
        </is>
      </c>
      <c r="G1080" s="12" t="inlineStr">
        <is>
          <t>Basic</t>
        </is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1</v>
      </c>
      <c r="N1080" s="12" t="n">
        <v>0</v>
      </c>
      <c r="O1080" s="12" t="n"/>
      <c r="P1080" s="12" t="n">
        <v>75.09999999999999</v>
      </c>
    </row>
    <row r="1081">
      <c r="A1081" s="12" t="inlineStr">
        <is>
          <t>USR-101080</t>
        </is>
      </c>
      <c r="B1081" s="29" t="n">
        <v>45787</v>
      </c>
      <c r="C1081" s="12" t="inlineStr">
        <is>
          <t>Treatment</t>
        </is>
      </c>
      <c r="D1081" s="12" t="inlineStr">
        <is>
          <t>South</t>
        </is>
      </c>
      <c r="E1081" s="12" t="inlineStr">
        <is>
          <t>Mobile</t>
        </is>
      </c>
      <c r="F1081" s="12" t="inlineStr">
        <is>
          <t>Organic</t>
        </is>
      </c>
      <c r="G1081" s="12" t="inlineStr">
        <is>
          <t>Basic</t>
        </is>
      </c>
      <c r="H1081" s="12" t="n">
        <v>1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/>
      <c r="P1081" s="12" t="n">
        <v>64.5</v>
      </c>
    </row>
    <row r="1082">
      <c r="A1082" s="12" t="inlineStr">
        <is>
          <t>USR-101081</t>
        </is>
      </c>
      <c r="B1082" s="29" t="n">
        <v>45744</v>
      </c>
      <c r="C1082" s="12" t="inlineStr">
        <is>
          <t>Treatment</t>
        </is>
      </c>
      <c r="D1082" s="12" t="inlineStr">
        <is>
          <t>East</t>
        </is>
      </c>
      <c r="E1082" s="12" t="inlineStr">
        <is>
          <t>Mobile</t>
        </is>
      </c>
      <c r="F1082" s="12" t="inlineStr">
        <is>
          <t>Organic</t>
        </is>
      </c>
      <c r="G1082" s="12" t="inlineStr">
        <is>
          <t>Free</t>
        </is>
      </c>
      <c r="H1082" s="12" t="n">
        <v>1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/>
      <c r="P1082" s="12" t="n">
        <v>54.2</v>
      </c>
    </row>
    <row r="1083">
      <c r="A1083" s="12" t="inlineStr">
        <is>
          <t>USR-101082</t>
        </is>
      </c>
      <c r="B1083" s="29" t="n">
        <v>45777</v>
      </c>
      <c r="C1083" s="12" t="inlineStr">
        <is>
          <t>Treatment</t>
        </is>
      </c>
      <c r="D1083" s="12" t="inlineStr">
        <is>
          <t>East</t>
        </is>
      </c>
      <c r="E1083" s="12" t="inlineStr">
        <is>
          <t>Mobile</t>
        </is>
      </c>
      <c r="F1083" s="12" t="inlineStr">
        <is>
          <t>Paid Search</t>
        </is>
      </c>
      <c r="G1083" s="12" t="inlineStr">
        <is>
          <t>Premium</t>
        </is>
      </c>
      <c r="H1083" s="12" t="n">
        <v>1</v>
      </c>
      <c r="I1083" s="12" t="n">
        <v>1</v>
      </c>
      <c r="J1083" s="12" t="n">
        <v>1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/>
      <c r="P1083" s="12" t="n">
        <v>84.09999999999999</v>
      </c>
    </row>
    <row r="1084">
      <c r="A1084" s="12" t="inlineStr">
        <is>
          <t>USR-101083</t>
        </is>
      </c>
      <c r="B1084" s="29" t="n">
        <v>45696</v>
      </c>
      <c r="C1084" s="12" t="inlineStr">
        <is>
          <t>Treatment</t>
        </is>
      </c>
      <c r="D1084" s="12" t="inlineStr">
        <is>
          <t>North</t>
        </is>
      </c>
      <c r="E1084" s="12" t="inlineStr">
        <is>
          <t>Mobile</t>
        </is>
      </c>
      <c r="F1084" s="12" t="inlineStr">
        <is>
          <t>Organic</t>
        </is>
      </c>
      <c r="G1084" s="12" t="inlineStr">
        <is>
          <t>Basic</t>
        </is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1</v>
      </c>
      <c r="N1084" s="12" t="n">
        <v>0</v>
      </c>
      <c r="O1084" s="12" t="n"/>
      <c r="P1084" s="12" t="n">
        <v>49.1</v>
      </c>
    </row>
    <row r="1085">
      <c r="A1085" s="12" t="inlineStr">
        <is>
          <t>USR-101084</t>
        </is>
      </c>
      <c r="B1085" s="29" t="n">
        <v>45723</v>
      </c>
      <c r="C1085" s="12" t="inlineStr">
        <is>
          <t>Treatment</t>
        </is>
      </c>
      <c r="D1085" s="12" t="inlineStr">
        <is>
          <t>South</t>
        </is>
      </c>
      <c r="E1085" s="12" t="inlineStr">
        <is>
          <t>Mobile</t>
        </is>
      </c>
      <c r="F1085" s="12" t="inlineStr">
        <is>
          <t>Referral</t>
        </is>
      </c>
      <c r="G1085" s="12" t="inlineStr">
        <is>
          <t>Premium</t>
        </is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/>
      <c r="P1085" s="12" t="n">
        <v>92.7</v>
      </c>
    </row>
    <row r="1086">
      <c r="A1086" s="12" t="inlineStr">
        <is>
          <t>USR-101085</t>
        </is>
      </c>
      <c r="B1086" s="29" t="n">
        <v>45798</v>
      </c>
      <c r="C1086" s="12" t="inlineStr">
        <is>
          <t>Treatment</t>
        </is>
      </c>
      <c r="D1086" s="12" t="inlineStr">
        <is>
          <t>South</t>
        </is>
      </c>
      <c r="E1086" s="12" t="inlineStr">
        <is>
          <t>Mobile</t>
        </is>
      </c>
      <c r="F1086" s="12" t="inlineStr">
        <is>
          <t>Social</t>
        </is>
      </c>
      <c r="G1086" s="12" t="inlineStr">
        <is>
          <t>Basic</t>
        </is>
      </c>
      <c r="H1086" s="12" t="n">
        <v>1</v>
      </c>
      <c r="I1086" s="12" t="n">
        <v>1</v>
      </c>
      <c r="J1086" s="12" t="n">
        <v>1</v>
      </c>
      <c r="K1086" s="12" t="n">
        <v>0</v>
      </c>
      <c r="L1086" s="12" t="n">
        <v>0</v>
      </c>
      <c r="M1086" s="12" t="n">
        <v>1</v>
      </c>
      <c r="N1086" s="12" t="n">
        <v>0</v>
      </c>
      <c r="O1086" s="12" t="n"/>
      <c r="P1086" s="12" t="n">
        <v>58.7</v>
      </c>
    </row>
    <row r="1087">
      <c r="A1087" s="12" t="inlineStr">
        <is>
          <t>USR-101086</t>
        </is>
      </c>
      <c r="B1087" s="29" t="n">
        <v>45759</v>
      </c>
      <c r="C1087" s="12" t="inlineStr">
        <is>
          <t>Treatment</t>
        </is>
      </c>
      <c r="D1087" s="12" t="inlineStr">
        <is>
          <t>South</t>
        </is>
      </c>
      <c r="E1087" s="12" t="inlineStr">
        <is>
          <t>Mobile</t>
        </is>
      </c>
      <c r="F1087" s="12" t="inlineStr">
        <is>
          <t>Social</t>
        </is>
      </c>
      <c r="G1087" s="12" t="inlineStr">
        <is>
          <t>Free</t>
        </is>
      </c>
      <c r="H1087" s="12" t="n">
        <v>1</v>
      </c>
      <c r="I1087" s="12" t="n">
        <v>1</v>
      </c>
      <c r="J1087" s="12" t="n">
        <v>1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/>
      <c r="P1087" s="12" t="n">
        <v>59.3</v>
      </c>
    </row>
    <row r="1088">
      <c r="A1088" s="12" t="inlineStr">
        <is>
          <t>USR-101087</t>
        </is>
      </c>
      <c r="B1088" s="29" t="n">
        <v>45690</v>
      </c>
      <c r="C1088" s="12" t="inlineStr">
        <is>
          <t>Treatment</t>
        </is>
      </c>
      <c r="D1088" s="12" t="inlineStr">
        <is>
          <t>South</t>
        </is>
      </c>
      <c r="E1088" s="12" t="inlineStr">
        <is>
          <t>Mobile</t>
        </is>
      </c>
      <c r="F1088" s="12" t="inlineStr">
        <is>
          <t>Paid Search</t>
        </is>
      </c>
      <c r="G1088" s="12" t="inlineStr">
        <is>
          <t>Free</t>
        </is>
      </c>
      <c r="H1088" s="12" t="n">
        <v>1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/>
      <c r="P1088" s="12" t="n">
        <v>62</v>
      </c>
    </row>
    <row r="1089">
      <c r="A1089" s="12" t="inlineStr">
        <is>
          <t>USR-101088</t>
        </is>
      </c>
      <c r="B1089" s="29" t="n">
        <v>45769</v>
      </c>
      <c r="C1089" s="12" t="inlineStr">
        <is>
          <t>Treatment</t>
        </is>
      </c>
      <c r="D1089" s="12" t="inlineStr">
        <is>
          <t>North</t>
        </is>
      </c>
      <c r="E1089" s="12" t="inlineStr">
        <is>
          <t>Tablet</t>
        </is>
      </c>
      <c r="F1089" s="12" t="inlineStr">
        <is>
          <t>Referral</t>
        </is>
      </c>
      <c r="G1089" s="12" t="inlineStr">
        <is>
          <t>Free</t>
        </is>
      </c>
      <c r="H1089" s="12" t="n">
        <v>1</v>
      </c>
      <c r="I1089" s="12" t="n">
        <v>1</v>
      </c>
      <c r="J1089" s="12" t="n">
        <v>1</v>
      </c>
      <c r="K1089" s="12" t="n">
        <v>0</v>
      </c>
      <c r="L1089" s="12" t="n">
        <v>0</v>
      </c>
      <c r="M1089" s="12" t="n">
        <v>1</v>
      </c>
      <c r="N1089" s="12" t="n">
        <v>0</v>
      </c>
      <c r="O1089" s="12" t="n"/>
      <c r="P1089" s="12" t="n">
        <v>60.3</v>
      </c>
    </row>
    <row r="1090">
      <c r="A1090" s="12" t="inlineStr">
        <is>
          <t>USR-101089</t>
        </is>
      </c>
      <c r="B1090" s="29" t="n">
        <v>45696</v>
      </c>
      <c r="C1090" s="12" t="inlineStr">
        <is>
          <t>Treatment</t>
        </is>
      </c>
      <c r="D1090" s="12" t="inlineStr">
        <is>
          <t>North</t>
        </is>
      </c>
      <c r="E1090" s="12" t="inlineStr">
        <is>
          <t>Mobile</t>
        </is>
      </c>
      <c r="F1090" s="12" t="inlineStr">
        <is>
          <t>Social</t>
        </is>
      </c>
      <c r="G1090" s="12" t="inlineStr">
        <is>
          <t>Basic</t>
        </is>
      </c>
      <c r="H1090" s="12" t="n">
        <v>1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/>
      <c r="P1090" s="12" t="n">
        <v>70.5</v>
      </c>
    </row>
    <row r="1091">
      <c r="A1091" s="12" t="inlineStr">
        <is>
          <t>USR-101090</t>
        </is>
      </c>
      <c r="B1091" s="29" t="n">
        <v>45681</v>
      </c>
      <c r="C1091" s="12" t="inlineStr">
        <is>
          <t>Treatment</t>
        </is>
      </c>
      <c r="D1091" s="12" t="inlineStr">
        <is>
          <t>South</t>
        </is>
      </c>
      <c r="E1091" s="12" t="inlineStr">
        <is>
          <t>Desktop</t>
        </is>
      </c>
      <c r="F1091" s="12" t="inlineStr">
        <is>
          <t>Email</t>
        </is>
      </c>
      <c r="G1091" s="12" t="inlineStr">
        <is>
          <t>Free</t>
        </is>
      </c>
      <c r="H1091" s="12" t="n">
        <v>1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/>
      <c r="P1091" s="12" t="n">
        <v>36.8</v>
      </c>
    </row>
    <row r="1092">
      <c r="A1092" s="12" t="inlineStr">
        <is>
          <t>USR-101091</t>
        </is>
      </c>
      <c r="B1092" s="29" t="n">
        <v>45789</v>
      </c>
      <c r="C1092" s="12" t="inlineStr">
        <is>
          <t>Treatment</t>
        </is>
      </c>
      <c r="D1092" s="12" t="inlineStr">
        <is>
          <t>South</t>
        </is>
      </c>
      <c r="E1092" s="12" t="inlineStr">
        <is>
          <t>Mobile</t>
        </is>
      </c>
      <c r="F1092" s="12" t="inlineStr">
        <is>
          <t>Paid Search</t>
        </is>
      </c>
      <c r="G1092" s="12" t="inlineStr">
        <is>
          <t>Basic</t>
        </is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1</v>
      </c>
      <c r="N1092" s="12" t="n">
        <v>0</v>
      </c>
      <c r="O1092" s="12" t="n"/>
      <c r="P1092" s="12" t="n">
        <v>73.2</v>
      </c>
    </row>
    <row r="1093">
      <c r="A1093" s="12" t="inlineStr">
        <is>
          <t>USR-101092</t>
        </is>
      </c>
      <c r="B1093" s="29" t="n">
        <v>45746</v>
      </c>
      <c r="C1093" s="12" t="inlineStr">
        <is>
          <t>Treatment</t>
        </is>
      </c>
      <c r="D1093" s="12" t="inlineStr">
        <is>
          <t>North</t>
        </is>
      </c>
      <c r="E1093" s="12" t="inlineStr">
        <is>
          <t>Mobile</t>
        </is>
      </c>
      <c r="F1093" s="12" t="inlineStr">
        <is>
          <t>Organic</t>
        </is>
      </c>
      <c r="G1093" s="12" t="inlineStr">
        <is>
          <t>Basic</t>
        </is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/>
      <c r="P1093" s="12" t="n">
        <v>70.09999999999999</v>
      </c>
    </row>
    <row r="1094">
      <c r="A1094" s="12" t="inlineStr">
        <is>
          <t>USR-101093</t>
        </is>
      </c>
      <c r="B1094" s="29" t="n">
        <v>45659</v>
      </c>
      <c r="C1094" s="12" t="inlineStr">
        <is>
          <t>Treatment</t>
        </is>
      </c>
      <c r="D1094" s="12" t="inlineStr">
        <is>
          <t>South</t>
        </is>
      </c>
      <c r="E1094" s="12" t="inlineStr">
        <is>
          <t>Desktop</t>
        </is>
      </c>
      <c r="F1094" s="12" t="inlineStr">
        <is>
          <t>Paid Search</t>
        </is>
      </c>
      <c r="G1094" s="12" t="inlineStr">
        <is>
          <t>Basic</t>
        </is>
      </c>
      <c r="H1094" s="12" t="n">
        <v>1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/>
      <c r="P1094" s="12" t="n">
        <v>76.40000000000001</v>
      </c>
    </row>
    <row r="1095">
      <c r="A1095" s="12" t="inlineStr">
        <is>
          <t>USR-101094</t>
        </is>
      </c>
      <c r="B1095" s="29" t="n">
        <v>45737</v>
      </c>
      <c r="C1095" s="12" t="inlineStr">
        <is>
          <t>Treatment</t>
        </is>
      </c>
      <c r="D1095" s="12" t="inlineStr">
        <is>
          <t>South</t>
        </is>
      </c>
      <c r="E1095" s="12" t="inlineStr">
        <is>
          <t>Tablet</t>
        </is>
      </c>
      <c r="F1095" s="12" t="inlineStr">
        <is>
          <t>Email</t>
        </is>
      </c>
      <c r="G1095" s="12" t="inlineStr">
        <is>
          <t>Basic</t>
        </is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/>
      <c r="P1095" s="12" t="n">
        <v>46.4</v>
      </c>
    </row>
    <row r="1096">
      <c r="A1096" s="12" t="inlineStr">
        <is>
          <t>USR-101095</t>
        </is>
      </c>
      <c r="B1096" s="29" t="n">
        <v>45682</v>
      </c>
      <c r="C1096" s="12" t="inlineStr">
        <is>
          <t>Treatment</t>
        </is>
      </c>
      <c r="D1096" s="12" t="inlineStr">
        <is>
          <t>West</t>
        </is>
      </c>
      <c r="E1096" s="12" t="inlineStr">
        <is>
          <t>Mobile</t>
        </is>
      </c>
      <c r="F1096" s="12" t="inlineStr">
        <is>
          <t>Organic</t>
        </is>
      </c>
      <c r="G1096" s="12" t="inlineStr">
        <is>
          <t>Free</t>
        </is>
      </c>
      <c r="H1096" s="12" t="n">
        <v>1</v>
      </c>
      <c r="I1096" s="12" t="n">
        <v>1</v>
      </c>
      <c r="J1096" s="12" t="n">
        <v>1</v>
      </c>
      <c r="K1096" s="12" t="n">
        <v>0</v>
      </c>
      <c r="L1096" s="12" t="n">
        <v>0</v>
      </c>
      <c r="M1096" s="12" t="n">
        <v>1</v>
      </c>
      <c r="N1096" s="12" t="n">
        <v>0</v>
      </c>
      <c r="O1096" s="12" t="n"/>
      <c r="P1096" s="12" t="n">
        <v>81.3</v>
      </c>
    </row>
    <row r="1097">
      <c r="A1097" s="12" t="inlineStr">
        <is>
          <t>USR-101096</t>
        </is>
      </c>
      <c r="B1097" s="29" t="n">
        <v>45669</v>
      </c>
      <c r="C1097" s="12" t="inlineStr">
        <is>
          <t>Treatment</t>
        </is>
      </c>
      <c r="D1097" s="12" t="inlineStr">
        <is>
          <t>South</t>
        </is>
      </c>
      <c r="E1097" s="12" t="inlineStr">
        <is>
          <t>Tablet</t>
        </is>
      </c>
      <c r="F1097" s="12" t="inlineStr">
        <is>
          <t>Social</t>
        </is>
      </c>
      <c r="G1097" s="12" t="inlineStr">
        <is>
          <t>Free</t>
        </is>
      </c>
      <c r="H1097" s="12" t="n">
        <v>1</v>
      </c>
      <c r="I1097" s="12" t="n">
        <v>1</v>
      </c>
      <c r="J1097" s="12" t="n">
        <v>1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/>
      <c r="P1097" s="12" t="n">
        <v>55.3</v>
      </c>
    </row>
    <row r="1098">
      <c r="A1098" s="12" t="inlineStr">
        <is>
          <t>USR-101097</t>
        </is>
      </c>
      <c r="B1098" s="29" t="n">
        <v>45734</v>
      </c>
      <c r="C1098" s="12" t="inlineStr">
        <is>
          <t>Treatment</t>
        </is>
      </c>
      <c r="D1098" s="12" t="inlineStr">
        <is>
          <t>East</t>
        </is>
      </c>
      <c r="E1098" s="12" t="inlineStr">
        <is>
          <t>Desktop</t>
        </is>
      </c>
      <c r="F1098" s="12" t="inlineStr">
        <is>
          <t>Referral</t>
        </is>
      </c>
      <c r="G1098" s="12" t="inlineStr">
        <is>
          <t>Free</t>
        </is>
      </c>
      <c r="H1098" s="12" t="n">
        <v>1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/>
      <c r="P1098" s="12" t="n">
        <v>44.7</v>
      </c>
    </row>
    <row r="1099">
      <c r="A1099" s="12" t="inlineStr">
        <is>
          <t>USR-101098</t>
        </is>
      </c>
      <c r="B1099" s="29" t="n">
        <v>45742</v>
      </c>
      <c r="C1099" s="12" t="inlineStr">
        <is>
          <t>Treatment</t>
        </is>
      </c>
      <c r="D1099" s="12" t="inlineStr">
        <is>
          <t>East</t>
        </is>
      </c>
      <c r="E1099" s="12" t="inlineStr">
        <is>
          <t>Mobile</t>
        </is>
      </c>
      <c r="F1099" s="12" t="inlineStr">
        <is>
          <t>Paid Search</t>
        </is>
      </c>
      <c r="G1099" s="12" t="inlineStr">
        <is>
          <t>Basic</t>
        </is>
      </c>
      <c r="H1099" s="12" t="n">
        <v>1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/>
      <c r="P1099" s="12" t="n">
        <v>67.2</v>
      </c>
    </row>
    <row r="1100">
      <c r="A1100" s="12" t="inlineStr">
        <is>
          <t>USR-101099</t>
        </is>
      </c>
      <c r="B1100" s="29" t="n">
        <v>45766</v>
      </c>
      <c r="C1100" s="12" t="inlineStr">
        <is>
          <t>Treatment</t>
        </is>
      </c>
      <c r="D1100" s="12" t="inlineStr">
        <is>
          <t>North</t>
        </is>
      </c>
      <c r="E1100" s="12" t="inlineStr">
        <is>
          <t>Mobile</t>
        </is>
      </c>
      <c r="F1100" s="12" t="inlineStr">
        <is>
          <t>Paid Search</t>
        </is>
      </c>
      <c r="G1100" s="12" t="inlineStr">
        <is>
          <t>Basic</t>
        </is>
      </c>
      <c r="H1100" s="12" t="n">
        <v>1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/>
      <c r="P1100" s="12" t="n"/>
    </row>
    <row r="1101">
      <c r="A1101" s="12" t="inlineStr">
        <is>
          <t>USR-101100</t>
        </is>
      </c>
      <c r="B1101" s="29" t="n">
        <v>45764</v>
      </c>
      <c r="C1101" s="12" t="inlineStr">
        <is>
          <t>Treatment</t>
        </is>
      </c>
      <c r="D1101" s="12" t="inlineStr">
        <is>
          <t>East</t>
        </is>
      </c>
      <c r="E1101" s="12" t="inlineStr">
        <is>
          <t>Mobile</t>
        </is>
      </c>
      <c r="F1101" s="12" t="inlineStr">
        <is>
          <t>Organic</t>
        </is>
      </c>
      <c r="G1101" s="12" t="inlineStr">
        <is>
          <t>Premium</t>
        </is>
      </c>
      <c r="H1101" s="12" t="n">
        <v>1</v>
      </c>
      <c r="I1101" s="12" t="n">
        <v>1</v>
      </c>
      <c r="J1101" s="12" t="n">
        <v>1</v>
      </c>
      <c r="K1101" s="12" t="n">
        <v>0</v>
      </c>
      <c r="L1101" s="12" t="n">
        <v>0</v>
      </c>
      <c r="M1101" s="12" t="n">
        <v>1</v>
      </c>
      <c r="N1101" s="12" t="n">
        <v>0</v>
      </c>
      <c r="O1101" s="12" t="n"/>
      <c r="P1101" s="12" t="n">
        <v>70.8</v>
      </c>
    </row>
    <row r="1102">
      <c r="A1102" s="12" t="inlineStr">
        <is>
          <t>USR-101101</t>
        </is>
      </c>
      <c r="B1102" s="29" t="n">
        <v>45803</v>
      </c>
      <c r="C1102" s="12" t="inlineStr">
        <is>
          <t>Treatment</t>
        </is>
      </c>
      <c r="D1102" s="12" t="inlineStr">
        <is>
          <t>South</t>
        </is>
      </c>
      <c r="E1102" s="12" t="inlineStr">
        <is>
          <t>Mobile</t>
        </is>
      </c>
      <c r="F1102" s="12" t="inlineStr">
        <is>
          <t>Paid Search</t>
        </is>
      </c>
      <c r="G1102" s="12" t="inlineStr">
        <is>
          <t>Free</t>
        </is>
      </c>
      <c r="H1102" s="12" t="n">
        <v>1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/>
      <c r="P1102" s="12" t="n">
        <v>71.3</v>
      </c>
    </row>
    <row r="1103">
      <c r="A1103" s="12" t="inlineStr">
        <is>
          <t>USR-101102</t>
        </is>
      </c>
      <c r="B1103" s="29" t="n">
        <v>45761</v>
      </c>
      <c r="C1103" s="12" t="inlineStr">
        <is>
          <t>Treatment</t>
        </is>
      </c>
      <c r="D1103" s="12" t="inlineStr">
        <is>
          <t>North</t>
        </is>
      </c>
      <c r="E1103" s="12" t="inlineStr">
        <is>
          <t>Mobile</t>
        </is>
      </c>
      <c r="F1103" s="12" t="inlineStr">
        <is>
          <t>Social</t>
        </is>
      </c>
      <c r="G1103" s="12" t="inlineStr">
        <is>
          <t>Premium</t>
        </is>
      </c>
      <c r="H1103" s="12" t="n">
        <v>1</v>
      </c>
      <c r="I1103" s="12" t="n">
        <v>1</v>
      </c>
      <c r="J1103" s="12" t="n">
        <v>1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/>
      <c r="P1103" s="12" t="n">
        <v>69.40000000000001</v>
      </c>
    </row>
    <row r="1104">
      <c r="A1104" s="12" t="inlineStr">
        <is>
          <t>USR-101103</t>
        </is>
      </c>
      <c r="B1104" s="29" t="n">
        <v>45680</v>
      </c>
      <c r="C1104" s="12" t="inlineStr">
        <is>
          <t>Treatment</t>
        </is>
      </c>
      <c r="D1104" s="12" t="inlineStr">
        <is>
          <t>South</t>
        </is>
      </c>
      <c r="E1104" s="12" t="inlineStr">
        <is>
          <t>Mobile</t>
        </is>
      </c>
      <c r="F1104" s="12" t="inlineStr">
        <is>
          <t>Organic</t>
        </is>
      </c>
      <c r="G1104" s="12" t="inlineStr">
        <is>
          <t>Basic</t>
        </is>
      </c>
      <c r="H1104" s="12" t="n">
        <v>1</v>
      </c>
      <c r="I1104" s="12" t="n">
        <v>1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/>
      <c r="P1104" s="12" t="n">
        <v>58.9</v>
      </c>
    </row>
    <row r="1105">
      <c r="A1105" s="12" t="inlineStr">
        <is>
          <t>USR-101104</t>
        </is>
      </c>
      <c r="B1105" s="29" t="n">
        <v>45663</v>
      </c>
      <c r="C1105" s="12" t="inlineStr">
        <is>
          <t>Treatment</t>
        </is>
      </c>
      <c r="D1105" s="12" t="inlineStr">
        <is>
          <t>East</t>
        </is>
      </c>
      <c r="E1105" s="12" t="inlineStr">
        <is>
          <t>Mobile</t>
        </is>
      </c>
      <c r="F1105" s="12" t="inlineStr">
        <is>
          <t>Referral</t>
        </is>
      </c>
      <c r="G1105" s="12" t="inlineStr">
        <is>
          <t>Free</t>
        </is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/>
      <c r="P1105" s="12" t="n">
        <v>70.7</v>
      </c>
    </row>
    <row r="1106">
      <c r="A1106" s="12" t="inlineStr">
        <is>
          <t>USR-101105</t>
        </is>
      </c>
      <c r="B1106" s="29" t="n">
        <v>45808</v>
      </c>
      <c r="C1106" s="12" t="inlineStr">
        <is>
          <t>Treatment</t>
        </is>
      </c>
      <c r="D1106" s="12" t="inlineStr">
        <is>
          <t>West</t>
        </is>
      </c>
      <c r="E1106" s="12" t="inlineStr">
        <is>
          <t>Mobile</t>
        </is>
      </c>
      <c r="F1106" s="12" t="inlineStr">
        <is>
          <t>Email</t>
        </is>
      </c>
      <c r="G1106" s="12" t="inlineStr">
        <is>
          <t>Basic</t>
        </is>
      </c>
      <c r="H1106" s="12" t="n">
        <v>1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/>
      <c r="P1106" s="12" t="n">
        <v>60.5</v>
      </c>
    </row>
    <row r="1107">
      <c r="A1107" s="12" t="inlineStr">
        <is>
          <t>USR-101106</t>
        </is>
      </c>
      <c r="B1107" s="29" t="n">
        <v>45796</v>
      </c>
      <c r="C1107" s="12" t="inlineStr">
        <is>
          <t>Treatment</t>
        </is>
      </c>
      <c r="D1107" s="12" t="inlineStr">
        <is>
          <t>North</t>
        </is>
      </c>
      <c r="E1107" s="12" t="inlineStr">
        <is>
          <t>Mobile</t>
        </is>
      </c>
      <c r="F1107" s="12" t="inlineStr">
        <is>
          <t>Organic</t>
        </is>
      </c>
      <c r="G1107" s="12" t="inlineStr">
        <is>
          <t>Basic</t>
        </is>
      </c>
      <c r="H1107" s="12" t="n">
        <v>1</v>
      </c>
      <c r="I1107" s="12" t="n">
        <v>1</v>
      </c>
      <c r="J1107" s="12" t="n">
        <v>1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/>
      <c r="P1107" s="12" t="n">
        <v>77.3</v>
      </c>
    </row>
    <row r="1108">
      <c r="A1108" s="12" t="inlineStr">
        <is>
          <t>USR-101107</t>
        </is>
      </c>
      <c r="B1108" s="29" t="n">
        <v>45713</v>
      </c>
      <c r="C1108" s="12" t="inlineStr">
        <is>
          <t>Treatment</t>
        </is>
      </c>
      <c r="D1108" s="12" t="inlineStr">
        <is>
          <t>North</t>
        </is>
      </c>
      <c r="E1108" s="12" t="inlineStr">
        <is>
          <t>Mobile</t>
        </is>
      </c>
      <c r="F1108" s="12" t="inlineStr">
        <is>
          <t>Organic</t>
        </is>
      </c>
      <c r="G1108" s="12" t="inlineStr">
        <is>
          <t>Free</t>
        </is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1</v>
      </c>
      <c r="N1108" s="12" t="n">
        <v>0</v>
      </c>
      <c r="O1108" s="12" t="n"/>
      <c r="P1108" s="12" t="n">
        <v>39.5</v>
      </c>
    </row>
    <row r="1109">
      <c r="A1109" s="12" t="inlineStr">
        <is>
          <t>USR-101108</t>
        </is>
      </c>
      <c r="B1109" s="29" t="n">
        <v>45667</v>
      </c>
      <c r="C1109" s="12" t="inlineStr">
        <is>
          <t>Treatment</t>
        </is>
      </c>
      <c r="D1109" s="12" t="inlineStr">
        <is>
          <t>South</t>
        </is>
      </c>
      <c r="E1109" s="12" t="inlineStr">
        <is>
          <t>Tablet</t>
        </is>
      </c>
      <c r="F1109" s="12" t="inlineStr">
        <is>
          <t>Organic</t>
        </is>
      </c>
      <c r="G1109" s="12" t="inlineStr">
        <is>
          <t>Basic</t>
        </is>
      </c>
      <c r="H1109" s="12" t="n">
        <v>1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/>
      <c r="P1109" s="12" t="n">
        <v>68.09999999999999</v>
      </c>
    </row>
    <row r="1110">
      <c r="A1110" s="12" t="inlineStr">
        <is>
          <t>USR-101109</t>
        </is>
      </c>
      <c r="B1110" s="29" t="n">
        <v>45790</v>
      </c>
      <c r="C1110" s="12" t="inlineStr">
        <is>
          <t>Treatment</t>
        </is>
      </c>
      <c r="D1110" s="12" t="inlineStr">
        <is>
          <t>North</t>
        </is>
      </c>
      <c r="E1110" s="12" t="inlineStr">
        <is>
          <t>Tablet</t>
        </is>
      </c>
      <c r="F1110" s="12" t="inlineStr">
        <is>
          <t>Paid Search</t>
        </is>
      </c>
      <c r="G1110" s="12" t="inlineStr">
        <is>
          <t>Free</t>
        </is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/>
      <c r="P1110" s="12" t="n">
        <v>80.3</v>
      </c>
    </row>
    <row r="1111">
      <c r="A1111" s="12" t="inlineStr">
        <is>
          <t>USR-101110</t>
        </is>
      </c>
      <c r="B1111" s="29" t="n">
        <v>45774</v>
      </c>
      <c r="C1111" s="12" t="inlineStr">
        <is>
          <t>Treatment</t>
        </is>
      </c>
      <c r="D1111" s="12" t="inlineStr">
        <is>
          <t>West</t>
        </is>
      </c>
      <c r="E1111" s="12" t="inlineStr">
        <is>
          <t>Desktop</t>
        </is>
      </c>
      <c r="F1111" s="12" t="inlineStr">
        <is>
          <t>Organic</t>
        </is>
      </c>
      <c r="G1111" s="12" t="inlineStr">
        <is>
          <t>Premium</t>
        </is>
      </c>
      <c r="H1111" s="12" t="n">
        <v>1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/>
      <c r="P1111" s="12" t="n">
        <v>77.7</v>
      </c>
    </row>
    <row r="1112">
      <c r="A1112" s="12" t="inlineStr">
        <is>
          <t>USR-101111</t>
        </is>
      </c>
      <c r="B1112" s="29" t="n">
        <v>45750</v>
      </c>
      <c r="C1112" s="12" t="inlineStr">
        <is>
          <t>Treatment</t>
        </is>
      </c>
      <c r="D1112" s="12" t="inlineStr">
        <is>
          <t>South</t>
        </is>
      </c>
      <c r="E1112" s="12" t="inlineStr">
        <is>
          <t>Mobile</t>
        </is>
      </c>
      <c r="F1112" s="12" t="inlineStr">
        <is>
          <t>Organic</t>
        </is>
      </c>
      <c r="G1112" s="12" t="inlineStr">
        <is>
          <t>Free</t>
        </is>
      </c>
      <c r="H1112" s="12" t="n">
        <v>1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1</v>
      </c>
      <c r="N1112" s="12" t="n">
        <v>0</v>
      </c>
      <c r="O1112" s="12" t="n"/>
      <c r="P1112" s="12" t="n">
        <v>66.2</v>
      </c>
    </row>
    <row r="1113">
      <c r="A1113" s="12" t="inlineStr">
        <is>
          <t>USR-101112</t>
        </is>
      </c>
      <c r="B1113" s="29" t="n">
        <v>45742</v>
      </c>
      <c r="C1113" s="12" t="inlineStr">
        <is>
          <t>Treatment</t>
        </is>
      </c>
      <c r="D1113" s="12" t="inlineStr">
        <is>
          <t>South</t>
        </is>
      </c>
      <c r="E1113" s="12" t="inlineStr">
        <is>
          <t>Mobile</t>
        </is>
      </c>
      <c r="F1113" s="12" t="inlineStr">
        <is>
          <t>Organic</t>
        </is>
      </c>
      <c r="G1113" s="12" t="inlineStr">
        <is>
          <t>Free</t>
        </is>
      </c>
      <c r="H1113" s="12" t="n">
        <v>1</v>
      </c>
      <c r="I1113" s="12" t="n">
        <v>1</v>
      </c>
      <c r="J1113" s="12" t="n">
        <v>1</v>
      </c>
      <c r="K1113" s="12" t="n">
        <v>0</v>
      </c>
      <c r="L1113" s="12" t="n">
        <v>0</v>
      </c>
      <c r="M1113" s="12" t="n">
        <v>1</v>
      </c>
      <c r="N1113" s="12" t="n">
        <v>0</v>
      </c>
      <c r="O1113" s="12" t="n"/>
      <c r="P1113" s="12" t="n">
        <v>43.9</v>
      </c>
    </row>
    <row r="1114">
      <c r="A1114" s="12" t="inlineStr">
        <is>
          <t>USR-101113</t>
        </is>
      </c>
      <c r="B1114" s="29" t="n">
        <v>45688</v>
      </c>
      <c r="C1114" s="12" t="inlineStr">
        <is>
          <t>Treatment</t>
        </is>
      </c>
      <c r="D1114" s="12" t="inlineStr">
        <is>
          <t>South</t>
        </is>
      </c>
      <c r="E1114" s="12" t="inlineStr">
        <is>
          <t>Mobile</t>
        </is>
      </c>
      <c r="F1114" s="12" t="inlineStr">
        <is>
          <t>Organic</t>
        </is>
      </c>
      <c r="G1114" s="12" t="inlineStr">
        <is>
          <t>Basic</t>
        </is>
      </c>
      <c r="H1114" s="12" t="n">
        <v>1</v>
      </c>
      <c r="I1114" s="12" t="n">
        <v>1</v>
      </c>
      <c r="J1114" s="12" t="n">
        <v>1</v>
      </c>
      <c r="K1114" s="12" t="n">
        <v>0</v>
      </c>
      <c r="L1114" s="12" t="n">
        <v>0</v>
      </c>
      <c r="M1114" s="12" t="n">
        <v>2</v>
      </c>
      <c r="N1114" s="12" t="n">
        <v>0</v>
      </c>
      <c r="O1114" s="12" t="n"/>
      <c r="P1114" s="12" t="n">
        <v>59.1</v>
      </c>
    </row>
    <row r="1115">
      <c r="A1115" s="12" t="inlineStr">
        <is>
          <t>USR-101114</t>
        </is>
      </c>
      <c r="B1115" s="29" t="n">
        <v>45682</v>
      </c>
      <c r="C1115" s="12" t="inlineStr">
        <is>
          <t>Treatment</t>
        </is>
      </c>
      <c r="D1115" s="12" t="inlineStr">
        <is>
          <t>South</t>
        </is>
      </c>
      <c r="E1115" s="12" t="inlineStr">
        <is>
          <t>Mobile</t>
        </is>
      </c>
      <c r="F1115" s="12" t="inlineStr">
        <is>
          <t>Social</t>
        </is>
      </c>
      <c r="G1115" s="12" t="inlineStr">
        <is>
          <t>Free</t>
        </is>
      </c>
      <c r="H1115" s="12" t="n">
        <v>1</v>
      </c>
      <c r="I1115" s="12" t="n">
        <v>1</v>
      </c>
      <c r="J1115" s="12" t="n">
        <v>1</v>
      </c>
      <c r="K1115" s="12" t="n">
        <v>1</v>
      </c>
      <c r="L1115" s="12" t="n">
        <v>416.94</v>
      </c>
      <c r="M1115" s="12" t="n">
        <v>1</v>
      </c>
      <c r="N1115" s="12" t="n">
        <v>0</v>
      </c>
      <c r="O1115" s="12" t="n">
        <v>11</v>
      </c>
      <c r="P1115" s="12" t="n">
        <v>67</v>
      </c>
    </row>
    <row r="1116">
      <c r="A1116" s="12" t="inlineStr">
        <is>
          <t>USR-101115</t>
        </is>
      </c>
      <c r="B1116" s="29" t="n">
        <v>45694</v>
      </c>
      <c r="C1116" s="12" t="inlineStr">
        <is>
          <t>Treatment</t>
        </is>
      </c>
      <c r="D1116" s="12" t="inlineStr">
        <is>
          <t>West</t>
        </is>
      </c>
      <c r="E1116" s="12" t="inlineStr">
        <is>
          <t>Mobile</t>
        </is>
      </c>
      <c r="F1116" s="12" t="inlineStr">
        <is>
          <t>Referral</t>
        </is>
      </c>
      <c r="G1116" s="12" t="inlineStr">
        <is>
          <t>Basic</t>
        </is>
      </c>
      <c r="H1116" s="12" t="n">
        <v>1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/>
      <c r="P1116" s="12" t="n">
        <v>47.9</v>
      </c>
    </row>
    <row r="1117">
      <c r="A1117" s="12" t="inlineStr">
        <is>
          <t>USR-101116</t>
        </is>
      </c>
      <c r="B1117" s="29" t="n">
        <v>45726</v>
      </c>
      <c r="C1117" s="12" t="inlineStr">
        <is>
          <t>Treatment</t>
        </is>
      </c>
      <c r="D1117" s="12" t="inlineStr">
        <is>
          <t>East</t>
        </is>
      </c>
      <c r="E1117" s="12" t="inlineStr">
        <is>
          <t>Mobile</t>
        </is>
      </c>
      <c r="F1117" s="12" t="inlineStr">
        <is>
          <t>Paid Search</t>
        </is>
      </c>
      <c r="G1117" s="12" t="inlineStr">
        <is>
          <t>Free</t>
        </is>
      </c>
      <c r="H1117" s="12" t="n">
        <v>1</v>
      </c>
      <c r="I1117" s="12" t="n">
        <v>1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/>
      <c r="P1117" s="12" t="n">
        <v>41.5</v>
      </c>
    </row>
    <row r="1118">
      <c r="A1118" s="12" t="inlineStr">
        <is>
          <t>USR-101117</t>
        </is>
      </c>
      <c r="B1118" s="29" t="n">
        <v>45683</v>
      </c>
      <c r="C1118" s="12" t="inlineStr">
        <is>
          <t>Treatment</t>
        </is>
      </c>
      <c r="D1118" s="12" t="inlineStr">
        <is>
          <t>West</t>
        </is>
      </c>
      <c r="E1118" s="12" t="inlineStr">
        <is>
          <t>Mobile</t>
        </is>
      </c>
      <c r="F1118" s="12" t="inlineStr">
        <is>
          <t>Organic</t>
        </is>
      </c>
      <c r="G1118" s="12" t="inlineStr">
        <is>
          <t>Basic</t>
        </is>
      </c>
      <c r="H1118" s="12" t="n">
        <v>1</v>
      </c>
      <c r="I1118" s="12" t="n">
        <v>1</v>
      </c>
      <c r="J1118" s="12" t="n">
        <v>1</v>
      </c>
      <c r="K1118" s="12" t="n">
        <v>0</v>
      </c>
      <c r="L1118" s="12" t="n">
        <v>0</v>
      </c>
      <c r="M1118" s="12" t="n">
        <v>3</v>
      </c>
      <c r="N1118" s="12" t="n">
        <v>0</v>
      </c>
      <c r="O1118" s="12" t="n"/>
      <c r="P1118" s="12" t="n">
        <v>30.6</v>
      </c>
    </row>
    <row r="1119">
      <c r="A1119" s="12" t="inlineStr">
        <is>
          <t>USR-101118</t>
        </is>
      </c>
      <c r="B1119" s="29" t="n">
        <v>45658</v>
      </c>
      <c r="C1119" s="12" t="inlineStr">
        <is>
          <t>Treatment</t>
        </is>
      </c>
      <c r="D1119" s="12" t="inlineStr">
        <is>
          <t>East</t>
        </is>
      </c>
      <c r="E1119" s="12" t="inlineStr">
        <is>
          <t>Mobile</t>
        </is>
      </c>
      <c r="F1119" s="12" t="inlineStr">
        <is>
          <t>Paid Search</t>
        </is>
      </c>
      <c r="G1119" s="12" t="inlineStr">
        <is>
          <t>Free</t>
        </is>
      </c>
      <c r="H1119" s="12" t="n">
        <v>1</v>
      </c>
      <c r="I1119" s="12" t="n">
        <v>1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/>
      <c r="P1119" s="12" t="n">
        <v>91.5</v>
      </c>
    </row>
    <row r="1120">
      <c r="A1120" s="12" t="inlineStr">
        <is>
          <t>USR-101119</t>
        </is>
      </c>
      <c r="B1120" s="29" t="n">
        <v>45775</v>
      </c>
      <c r="C1120" s="12" t="inlineStr">
        <is>
          <t>Treatment</t>
        </is>
      </c>
      <c r="D1120" s="12" t="inlineStr">
        <is>
          <t>North</t>
        </is>
      </c>
      <c r="E1120" s="12" t="inlineStr">
        <is>
          <t>Desktop</t>
        </is>
      </c>
      <c r="F1120" s="12" t="inlineStr">
        <is>
          <t>Social</t>
        </is>
      </c>
      <c r="G1120" s="12" t="inlineStr">
        <is>
          <t>Basic</t>
        </is>
      </c>
      <c r="H1120" s="12" t="n">
        <v>1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/>
      <c r="P1120" s="12" t="n">
        <v>80.8</v>
      </c>
    </row>
    <row r="1121">
      <c r="A1121" s="12" t="inlineStr">
        <is>
          <t>USR-101120</t>
        </is>
      </c>
      <c r="B1121" s="29" t="n">
        <v>45751</v>
      </c>
      <c r="C1121" s="12" t="inlineStr">
        <is>
          <t>Treatment</t>
        </is>
      </c>
      <c r="D1121" s="12" t="inlineStr">
        <is>
          <t>North</t>
        </is>
      </c>
      <c r="E1121" s="12" t="inlineStr">
        <is>
          <t>Mobile</t>
        </is>
      </c>
      <c r="F1121" s="12" t="inlineStr">
        <is>
          <t>Organic</t>
        </is>
      </c>
      <c r="G1121" s="12" t="inlineStr">
        <is>
          <t>Premium</t>
        </is>
      </c>
      <c r="H1121" s="12" t="n">
        <v>1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/>
      <c r="P1121" s="12" t="n">
        <v>68.09999999999999</v>
      </c>
    </row>
    <row r="1122">
      <c r="A1122" s="12" t="inlineStr">
        <is>
          <t>USR-101121</t>
        </is>
      </c>
      <c r="B1122" s="29" t="n">
        <v>45718</v>
      </c>
      <c r="C1122" s="12" t="inlineStr">
        <is>
          <t>Treatment</t>
        </is>
      </c>
      <c r="D1122" s="12" t="inlineStr">
        <is>
          <t>East</t>
        </is>
      </c>
      <c r="E1122" s="12" t="inlineStr">
        <is>
          <t>Mobile</t>
        </is>
      </c>
      <c r="F1122" s="12" t="inlineStr">
        <is>
          <t>Paid Search</t>
        </is>
      </c>
      <c r="G1122" s="12" t="inlineStr">
        <is>
          <t>Free</t>
        </is>
      </c>
      <c r="H1122" s="12" t="n">
        <v>1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/>
      <c r="P1122" s="12" t="n">
        <v>80.3</v>
      </c>
    </row>
    <row r="1123">
      <c r="A1123" s="12" t="inlineStr">
        <is>
          <t>USR-101122</t>
        </is>
      </c>
      <c r="B1123" s="29" t="n">
        <v>45735</v>
      </c>
      <c r="C1123" s="12" t="inlineStr">
        <is>
          <t>Treatment</t>
        </is>
      </c>
      <c r="D1123" s="12" t="inlineStr">
        <is>
          <t>South</t>
        </is>
      </c>
      <c r="E1123" s="12" t="inlineStr">
        <is>
          <t>Tablet</t>
        </is>
      </c>
      <c r="F1123" s="12" t="inlineStr">
        <is>
          <t>Organic</t>
        </is>
      </c>
      <c r="G1123" s="12" t="inlineStr">
        <is>
          <t>Basic</t>
        </is>
      </c>
      <c r="H1123" s="12" t="n">
        <v>1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/>
      <c r="P1123" s="12" t="n">
        <v>44.4</v>
      </c>
    </row>
    <row r="1124">
      <c r="A1124" s="12" t="inlineStr">
        <is>
          <t>USR-101123</t>
        </is>
      </c>
      <c r="B1124" s="29" t="n">
        <v>45677</v>
      </c>
      <c r="C1124" s="12" t="inlineStr">
        <is>
          <t>Treatment</t>
        </is>
      </c>
      <c r="D1124" s="12" t="inlineStr">
        <is>
          <t>South</t>
        </is>
      </c>
      <c r="E1124" s="12" t="inlineStr">
        <is>
          <t>Desktop</t>
        </is>
      </c>
      <c r="F1124" s="12" t="inlineStr">
        <is>
          <t>Organic</t>
        </is>
      </c>
      <c r="G1124" s="12" t="inlineStr">
        <is>
          <t>Basic</t>
        </is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/>
      <c r="P1124" s="12" t="n">
        <v>51.9</v>
      </c>
    </row>
    <row r="1125">
      <c r="A1125" s="12" t="inlineStr">
        <is>
          <t>USR-101124</t>
        </is>
      </c>
      <c r="B1125" s="29" t="n">
        <v>45750</v>
      </c>
      <c r="C1125" s="12" t="inlineStr">
        <is>
          <t>Treatment</t>
        </is>
      </c>
      <c r="D1125" s="12" t="inlineStr">
        <is>
          <t>East</t>
        </is>
      </c>
      <c r="E1125" s="12" t="inlineStr">
        <is>
          <t>Mobile</t>
        </is>
      </c>
      <c r="F1125" s="12" t="inlineStr">
        <is>
          <t>Paid Search</t>
        </is>
      </c>
      <c r="G1125" s="12" t="inlineStr">
        <is>
          <t>Free</t>
        </is>
      </c>
      <c r="H1125" s="12" t="n">
        <v>1</v>
      </c>
      <c r="I1125" s="12" t="n">
        <v>1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/>
      <c r="P1125" s="12" t="n">
        <v>49.8</v>
      </c>
    </row>
    <row r="1126">
      <c r="A1126" s="12" t="inlineStr">
        <is>
          <t>USR-101125</t>
        </is>
      </c>
      <c r="B1126" s="29" t="n">
        <v>45668</v>
      </c>
      <c r="C1126" s="12" t="inlineStr">
        <is>
          <t>Treatment</t>
        </is>
      </c>
      <c r="D1126" s="12" t="inlineStr">
        <is>
          <t>East</t>
        </is>
      </c>
      <c r="E1126" s="12" t="inlineStr">
        <is>
          <t>Desktop</t>
        </is>
      </c>
      <c r="F1126" s="12" t="inlineStr">
        <is>
          <t>Social</t>
        </is>
      </c>
      <c r="G1126" s="12" t="inlineStr">
        <is>
          <t>Free</t>
        </is>
      </c>
      <c r="H1126" s="12" t="n">
        <v>1</v>
      </c>
      <c r="I1126" s="12" t="n">
        <v>1</v>
      </c>
      <c r="J1126" s="12" t="n">
        <v>1</v>
      </c>
      <c r="K1126" s="12" t="n">
        <v>0</v>
      </c>
      <c r="L1126" s="12" t="n">
        <v>0</v>
      </c>
      <c r="M1126" s="12" t="n">
        <v>3</v>
      </c>
      <c r="N1126" s="12" t="n">
        <v>0</v>
      </c>
      <c r="O1126" s="12" t="n"/>
      <c r="P1126" s="12" t="n">
        <v>62.1</v>
      </c>
    </row>
    <row r="1127">
      <c r="A1127" s="12" t="inlineStr">
        <is>
          <t>USR-101126</t>
        </is>
      </c>
      <c r="B1127" s="29" t="n">
        <v>45690</v>
      </c>
      <c r="C1127" s="12" t="inlineStr">
        <is>
          <t>Treatment</t>
        </is>
      </c>
      <c r="D1127" s="12" t="inlineStr">
        <is>
          <t>West</t>
        </is>
      </c>
      <c r="E1127" s="12" t="inlineStr">
        <is>
          <t>Desktop</t>
        </is>
      </c>
      <c r="F1127" s="12" t="inlineStr">
        <is>
          <t>Social</t>
        </is>
      </c>
      <c r="G1127" s="12" t="inlineStr">
        <is>
          <t>Basic</t>
        </is>
      </c>
      <c r="H1127" s="12" t="n">
        <v>1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/>
      <c r="P1127" s="12" t="n">
        <v>91.3</v>
      </c>
    </row>
    <row r="1128">
      <c r="A1128" s="12" t="inlineStr">
        <is>
          <t>USR-101127</t>
        </is>
      </c>
      <c r="B1128" s="29" t="n">
        <v>45748</v>
      </c>
      <c r="C1128" s="12" t="inlineStr">
        <is>
          <t>Treatment</t>
        </is>
      </c>
      <c r="D1128" s="12" t="inlineStr">
        <is>
          <t>South</t>
        </is>
      </c>
      <c r="E1128" s="12" t="inlineStr">
        <is>
          <t>Mobile</t>
        </is>
      </c>
      <c r="F1128" s="12" t="inlineStr">
        <is>
          <t>Organic</t>
        </is>
      </c>
      <c r="G1128" s="12" t="inlineStr">
        <is>
          <t>Basic</t>
        </is>
      </c>
      <c r="H1128" s="12" t="n">
        <v>1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/>
      <c r="P1128" s="12" t="n">
        <v>66.40000000000001</v>
      </c>
    </row>
    <row r="1129">
      <c r="A1129" s="12" t="inlineStr">
        <is>
          <t>USR-101128</t>
        </is>
      </c>
      <c r="B1129" s="29" t="n">
        <v>45799</v>
      </c>
      <c r="C1129" s="12" t="inlineStr">
        <is>
          <t>Treatment</t>
        </is>
      </c>
      <c r="D1129" s="12" t="inlineStr">
        <is>
          <t>East</t>
        </is>
      </c>
      <c r="E1129" s="12" t="inlineStr">
        <is>
          <t>Mobile</t>
        </is>
      </c>
      <c r="F1129" s="12" t="inlineStr">
        <is>
          <t>Organic</t>
        </is>
      </c>
      <c r="G1129" s="12" t="inlineStr">
        <is>
          <t>Basic</t>
        </is>
      </c>
      <c r="H1129" s="12" t="n">
        <v>1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/>
      <c r="P1129" s="12" t="n">
        <v>41.5</v>
      </c>
    </row>
    <row r="1130">
      <c r="A1130" s="12" t="inlineStr">
        <is>
          <t>USR-101129</t>
        </is>
      </c>
      <c r="B1130" s="29" t="n">
        <v>45708</v>
      </c>
      <c r="C1130" s="12" t="inlineStr">
        <is>
          <t>Treatment</t>
        </is>
      </c>
      <c r="D1130" s="12" t="inlineStr">
        <is>
          <t>West</t>
        </is>
      </c>
      <c r="E1130" s="12" t="inlineStr">
        <is>
          <t>Mobile</t>
        </is>
      </c>
      <c r="F1130" s="12" t="inlineStr">
        <is>
          <t>Organic</t>
        </is>
      </c>
      <c r="G1130" s="12" t="inlineStr">
        <is>
          <t>Basic</t>
        </is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/>
      <c r="P1130" s="12" t="n">
        <v>77.09999999999999</v>
      </c>
    </row>
    <row r="1131">
      <c r="A1131" s="12" t="inlineStr">
        <is>
          <t>USR-101130</t>
        </is>
      </c>
      <c r="B1131" s="29" t="n">
        <v>45737</v>
      </c>
      <c r="C1131" s="12" t="inlineStr">
        <is>
          <t>Treatment</t>
        </is>
      </c>
      <c r="D1131" s="12" t="inlineStr">
        <is>
          <t>West</t>
        </is>
      </c>
      <c r="E1131" s="12" t="inlineStr">
        <is>
          <t>Mobile</t>
        </is>
      </c>
      <c r="F1131" s="12" t="inlineStr">
        <is>
          <t>Organic</t>
        </is>
      </c>
      <c r="G1131" s="12" t="inlineStr">
        <is>
          <t>Free</t>
        </is>
      </c>
      <c r="H1131" s="12" t="n">
        <v>1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/>
      <c r="P1131" s="12" t="n">
        <v>63.2</v>
      </c>
    </row>
    <row r="1132">
      <c r="A1132" s="12" t="inlineStr">
        <is>
          <t>USR-101131</t>
        </is>
      </c>
      <c r="B1132" s="29" t="n">
        <v>45778</v>
      </c>
      <c r="C1132" s="12" t="inlineStr">
        <is>
          <t>Treatment</t>
        </is>
      </c>
      <c r="D1132" s="12" t="inlineStr">
        <is>
          <t>West</t>
        </is>
      </c>
      <c r="E1132" s="12" t="inlineStr">
        <is>
          <t>Desktop</t>
        </is>
      </c>
      <c r="F1132" s="12" t="inlineStr">
        <is>
          <t>Referral</t>
        </is>
      </c>
      <c r="G1132" s="12" t="inlineStr">
        <is>
          <t>Free</t>
        </is>
      </c>
      <c r="H1132" s="12" t="n">
        <v>1</v>
      </c>
      <c r="I1132" s="12" t="n">
        <v>1</v>
      </c>
      <c r="J1132" s="12" t="n">
        <v>1</v>
      </c>
      <c r="K1132" s="12" t="n">
        <v>0</v>
      </c>
      <c r="L1132" s="12" t="n">
        <v>0</v>
      </c>
      <c r="M1132" s="12" t="n">
        <v>3</v>
      </c>
      <c r="N1132" s="12" t="n">
        <v>0</v>
      </c>
      <c r="O1132" s="12" t="n"/>
      <c r="P1132" s="12" t="n">
        <v>75.7</v>
      </c>
    </row>
    <row r="1133">
      <c r="A1133" s="12" t="inlineStr">
        <is>
          <t>USR-101132</t>
        </is>
      </c>
      <c r="B1133" s="29" t="n">
        <v>45663</v>
      </c>
      <c r="C1133" s="12" t="inlineStr">
        <is>
          <t>Treatment</t>
        </is>
      </c>
      <c r="D1133" s="12" t="inlineStr">
        <is>
          <t>West</t>
        </is>
      </c>
      <c r="E1133" s="12" t="inlineStr">
        <is>
          <t>Mobile</t>
        </is>
      </c>
      <c r="F1133" s="12" t="inlineStr">
        <is>
          <t>Paid Search</t>
        </is>
      </c>
      <c r="G1133" s="12" t="inlineStr">
        <is>
          <t>Basic</t>
        </is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/>
      <c r="P1133" s="12" t="n">
        <v>62.9</v>
      </c>
    </row>
    <row r="1134">
      <c r="A1134" s="12" t="inlineStr">
        <is>
          <t>USR-101133</t>
        </is>
      </c>
      <c r="B1134" s="29" t="n">
        <v>45759</v>
      </c>
      <c r="C1134" s="12" t="inlineStr">
        <is>
          <t>Treatment</t>
        </is>
      </c>
      <c r="D1134" s="12" t="inlineStr">
        <is>
          <t>North</t>
        </is>
      </c>
      <c r="E1134" s="12" t="inlineStr">
        <is>
          <t>Desktop</t>
        </is>
      </c>
      <c r="F1134" s="12" t="inlineStr">
        <is>
          <t>Paid Search</t>
        </is>
      </c>
      <c r="G1134" s="12" t="inlineStr">
        <is>
          <t>Premium</t>
        </is>
      </c>
      <c r="H1134" s="12" t="n">
        <v>1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3</v>
      </c>
      <c r="N1134" s="12" t="n">
        <v>0</v>
      </c>
      <c r="O1134" s="12" t="n"/>
      <c r="P1134" s="12" t="n">
        <v>64.59999999999999</v>
      </c>
    </row>
    <row r="1135">
      <c r="A1135" s="12" t="inlineStr">
        <is>
          <t>USR-101134</t>
        </is>
      </c>
      <c r="B1135" s="29" t="n">
        <v>45765</v>
      </c>
      <c r="C1135" s="12" t="inlineStr">
        <is>
          <t>Treatment</t>
        </is>
      </c>
      <c r="D1135" s="12" t="inlineStr">
        <is>
          <t>North</t>
        </is>
      </c>
      <c r="E1135" s="12" t="inlineStr">
        <is>
          <t>Mobile</t>
        </is>
      </c>
      <c r="F1135" s="12" t="n"/>
      <c r="G1135" s="12" t="inlineStr">
        <is>
          <t>Basic</t>
        </is>
      </c>
      <c r="H1135" s="12" t="n">
        <v>1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/>
      <c r="P1135" s="12" t="n">
        <v>76.59999999999999</v>
      </c>
    </row>
    <row r="1136">
      <c r="A1136" s="12" t="inlineStr">
        <is>
          <t>USR-101135</t>
        </is>
      </c>
      <c r="B1136" s="29" t="n">
        <v>45740</v>
      </c>
      <c r="C1136" s="12" t="inlineStr">
        <is>
          <t>Treatment</t>
        </is>
      </c>
      <c r="D1136" s="12" t="inlineStr">
        <is>
          <t>East</t>
        </is>
      </c>
      <c r="E1136" s="12" t="inlineStr">
        <is>
          <t>Mobile</t>
        </is>
      </c>
      <c r="F1136" s="12" t="inlineStr">
        <is>
          <t>Social</t>
        </is>
      </c>
      <c r="G1136" s="12" t="inlineStr">
        <is>
          <t>Basic</t>
        </is>
      </c>
      <c r="H1136" s="12" t="n">
        <v>1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/>
      <c r="P1136" s="12" t="n">
        <v>74.8</v>
      </c>
    </row>
    <row r="1137">
      <c r="A1137" s="12" t="inlineStr">
        <is>
          <t>USR-101136</t>
        </is>
      </c>
      <c r="B1137" s="29" t="n">
        <v>45734</v>
      </c>
      <c r="C1137" s="12" t="inlineStr">
        <is>
          <t>Treatment</t>
        </is>
      </c>
      <c r="D1137" s="12" t="inlineStr">
        <is>
          <t>East</t>
        </is>
      </c>
      <c r="E1137" s="12" t="inlineStr">
        <is>
          <t>Desktop</t>
        </is>
      </c>
      <c r="F1137" s="12" t="inlineStr">
        <is>
          <t>Email</t>
        </is>
      </c>
      <c r="G1137" s="12" t="inlineStr">
        <is>
          <t>Premium</t>
        </is>
      </c>
      <c r="H1137" s="12" t="n">
        <v>1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2</v>
      </c>
      <c r="N1137" s="12" t="n">
        <v>0</v>
      </c>
      <c r="O1137" s="12" t="n"/>
      <c r="P1137" s="12" t="n">
        <v>38.1</v>
      </c>
    </row>
    <row r="1138">
      <c r="A1138" s="12" t="inlineStr">
        <is>
          <t>USR-101137</t>
        </is>
      </c>
      <c r="B1138" s="29" t="n">
        <v>45777</v>
      </c>
      <c r="C1138" s="12" t="inlineStr">
        <is>
          <t>Treatment</t>
        </is>
      </c>
      <c r="D1138" s="12" t="inlineStr">
        <is>
          <t>South</t>
        </is>
      </c>
      <c r="E1138" s="12" t="inlineStr">
        <is>
          <t>Tablet</t>
        </is>
      </c>
      <c r="F1138" s="12" t="inlineStr">
        <is>
          <t>Paid Search</t>
        </is>
      </c>
      <c r="G1138" s="12" t="inlineStr">
        <is>
          <t>Basic</t>
        </is>
      </c>
      <c r="H1138" s="12" t="n">
        <v>1</v>
      </c>
      <c r="I1138" s="12" t="n">
        <v>1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/>
      <c r="P1138" s="12" t="n">
        <v>60.2</v>
      </c>
    </row>
    <row r="1139">
      <c r="A1139" s="12" t="inlineStr">
        <is>
          <t>USR-101138</t>
        </is>
      </c>
      <c r="B1139" s="29" t="n">
        <v>45682</v>
      </c>
      <c r="C1139" s="12" t="inlineStr">
        <is>
          <t>Treatment</t>
        </is>
      </c>
      <c r="D1139" s="12" t="inlineStr">
        <is>
          <t>West</t>
        </is>
      </c>
      <c r="E1139" s="12" t="inlineStr">
        <is>
          <t>Mobile</t>
        </is>
      </c>
      <c r="F1139" s="12" t="inlineStr">
        <is>
          <t>Email</t>
        </is>
      </c>
      <c r="G1139" s="12" t="inlineStr">
        <is>
          <t>Free</t>
        </is>
      </c>
      <c r="H1139" s="12" t="n">
        <v>1</v>
      </c>
      <c r="I1139" s="12" t="n">
        <v>1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/>
      <c r="P1139" s="12" t="n">
        <v>73.5</v>
      </c>
    </row>
    <row r="1140">
      <c r="A1140" s="12" t="inlineStr">
        <is>
          <t>USR-101139</t>
        </is>
      </c>
      <c r="B1140" s="29" t="n">
        <v>45757</v>
      </c>
      <c r="C1140" s="12" t="inlineStr">
        <is>
          <t>Treatment</t>
        </is>
      </c>
      <c r="D1140" s="12" t="inlineStr">
        <is>
          <t>South</t>
        </is>
      </c>
      <c r="E1140" s="12" t="inlineStr">
        <is>
          <t>Mobile</t>
        </is>
      </c>
      <c r="F1140" s="12" t="inlineStr">
        <is>
          <t>Organic</t>
        </is>
      </c>
      <c r="G1140" s="12" t="inlineStr">
        <is>
          <t>Free</t>
        </is>
      </c>
      <c r="H1140" s="12" t="n">
        <v>1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/>
      <c r="P1140" s="12" t="n">
        <v>70.90000000000001</v>
      </c>
    </row>
    <row r="1141">
      <c r="A1141" s="12" t="inlineStr">
        <is>
          <t>USR-101140</t>
        </is>
      </c>
      <c r="B1141" s="29" t="n">
        <v>45667</v>
      </c>
      <c r="C1141" s="12" t="inlineStr">
        <is>
          <t>Treatment</t>
        </is>
      </c>
      <c r="D1141" s="12" t="inlineStr">
        <is>
          <t>West</t>
        </is>
      </c>
      <c r="E1141" s="12" t="inlineStr">
        <is>
          <t>Mobile</t>
        </is>
      </c>
      <c r="F1141" s="12" t="inlineStr">
        <is>
          <t>Social</t>
        </is>
      </c>
      <c r="G1141" s="12" t="inlineStr">
        <is>
          <t>Free</t>
        </is>
      </c>
      <c r="H1141" s="12" t="n">
        <v>1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/>
      <c r="P1141" s="12" t="n">
        <v>63.7</v>
      </c>
    </row>
    <row r="1142">
      <c r="A1142" s="12" t="inlineStr">
        <is>
          <t>USR-101141</t>
        </is>
      </c>
      <c r="B1142" s="29" t="n">
        <v>45699</v>
      </c>
      <c r="C1142" s="12" t="inlineStr">
        <is>
          <t>Treatment</t>
        </is>
      </c>
      <c r="D1142" s="12" t="inlineStr">
        <is>
          <t>South</t>
        </is>
      </c>
      <c r="E1142" s="12" t="inlineStr">
        <is>
          <t>Mobile</t>
        </is>
      </c>
      <c r="F1142" s="12" t="inlineStr">
        <is>
          <t>Paid Search</t>
        </is>
      </c>
      <c r="G1142" s="12" t="inlineStr">
        <is>
          <t>Free</t>
        </is>
      </c>
      <c r="H1142" s="12" t="n">
        <v>1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/>
      <c r="P1142" s="12" t="n">
        <v>86.5</v>
      </c>
    </row>
    <row r="1143">
      <c r="A1143" s="12" t="inlineStr">
        <is>
          <t>USR-101142</t>
        </is>
      </c>
      <c r="B1143" s="29" t="n">
        <v>45778</v>
      </c>
      <c r="C1143" s="12" t="inlineStr">
        <is>
          <t>Treatment</t>
        </is>
      </c>
      <c r="D1143" s="12" t="inlineStr">
        <is>
          <t>East</t>
        </is>
      </c>
      <c r="E1143" s="12" t="inlineStr">
        <is>
          <t>Mobile</t>
        </is>
      </c>
      <c r="F1143" s="12" t="inlineStr">
        <is>
          <t>Social</t>
        </is>
      </c>
      <c r="G1143" s="12" t="inlineStr">
        <is>
          <t>Basic</t>
        </is>
      </c>
      <c r="H1143" s="12" t="n">
        <v>1</v>
      </c>
      <c r="I1143" s="12" t="n">
        <v>1</v>
      </c>
      <c r="J1143" s="12" t="n">
        <v>1</v>
      </c>
      <c r="K1143" s="12" t="n">
        <v>1</v>
      </c>
      <c r="L1143" s="12" t="n">
        <v>921.72</v>
      </c>
      <c r="M1143" s="12" t="n">
        <v>3</v>
      </c>
      <c r="N1143" s="12" t="n">
        <v>0</v>
      </c>
      <c r="O1143" s="12" t="n">
        <v>7</v>
      </c>
      <c r="P1143" s="12" t="n">
        <v>74.59999999999999</v>
      </c>
    </row>
    <row r="1144">
      <c r="A1144" s="12" t="inlineStr">
        <is>
          <t>USR-101143</t>
        </is>
      </c>
      <c r="B1144" s="29" t="n">
        <v>45675</v>
      </c>
      <c r="C1144" s="12" t="inlineStr">
        <is>
          <t>Treatment</t>
        </is>
      </c>
      <c r="D1144" s="12" t="inlineStr">
        <is>
          <t>East</t>
        </is>
      </c>
      <c r="E1144" s="12" t="inlineStr">
        <is>
          <t>Mobile</t>
        </is>
      </c>
      <c r="F1144" s="12" t="inlineStr">
        <is>
          <t>Organic</t>
        </is>
      </c>
      <c r="G1144" s="12" t="inlineStr">
        <is>
          <t>Free</t>
        </is>
      </c>
      <c r="H1144" s="12" t="n">
        <v>1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/>
      <c r="P1144" s="12" t="n">
        <v>46.6</v>
      </c>
    </row>
    <row r="1145">
      <c r="A1145" s="12" t="inlineStr">
        <is>
          <t>USR-101144</t>
        </is>
      </c>
      <c r="B1145" s="29" t="n">
        <v>45659</v>
      </c>
      <c r="C1145" s="12" t="inlineStr">
        <is>
          <t>Treatment</t>
        </is>
      </c>
      <c r="D1145" s="12" t="inlineStr">
        <is>
          <t>North</t>
        </is>
      </c>
      <c r="E1145" s="12" t="inlineStr">
        <is>
          <t>Mobile</t>
        </is>
      </c>
      <c r="F1145" s="12" t="inlineStr">
        <is>
          <t>Paid Search</t>
        </is>
      </c>
      <c r="G1145" s="12" t="inlineStr">
        <is>
          <t>Free</t>
        </is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/>
      <c r="P1145" s="12" t="n">
        <v>61.2</v>
      </c>
    </row>
    <row r="1146">
      <c r="A1146" s="12" t="inlineStr">
        <is>
          <t>USR-101145</t>
        </is>
      </c>
      <c r="B1146" s="29" t="n">
        <v>45788</v>
      </c>
      <c r="C1146" s="12" t="inlineStr">
        <is>
          <t>Treatment</t>
        </is>
      </c>
      <c r="D1146" s="12" t="inlineStr">
        <is>
          <t>West</t>
        </is>
      </c>
      <c r="E1146" s="12" t="inlineStr">
        <is>
          <t>Mobile</t>
        </is>
      </c>
      <c r="F1146" s="12" t="inlineStr">
        <is>
          <t>Organic</t>
        </is>
      </c>
      <c r="G1146" s="12" t="inlineStr">
        <is>
          <t>Free</t>
        </is>
      </c>
      <c r="H1146" s="12" t="n">
        <v>1</v>
      </c>
      <c r="I1146" s="12" t="n">
        <v>1</v>
      </c>
      <c r="J1146" s="12" t="n">
        <v>1</v>
      </c>
      <c r="K1146" s="12" t="n">
        <v>1</v>
      </c>
      <c r="L1146" s="12" t="n">
        <v>290.39</v>
      </c>
      <c r="M1146" s="12" t="n">
        <v>0</v>
      </c>
      <c r="N1146" s="12" t="n">
        <v>0</v>
      </c>
      <c r="O1146" s="12" t="n">
        <v>4</v>
      </c>
      <c r="P1146" s="12" t="n">
        <v>54.4</v>
      </c>
    </row>
    <row r="1147">
      <c r="A1147" s="12" t="inlineStr">
        <is>
          <t>USR-101146</t>
        </is>
      </c>
      <c r="B1147" s="29" t="n">
        <v>45738</v>
      </c>
      <c r="C1147" s="12" t="inlineStr">
        <is>
          <t>Treatment</t>
        </is>
      </c>
      <c r="D1147" s="12" t="inlineStr">
        <is>
          <t>North</t>
        </is>
      </c>
      <c r="E1147" s="12" t="inlineStr">
        <is>
          <t>Mobile</t>
        </is>
      </c>
      <c r="F1147" s="12" t="inlineStr">
        <is>
          <t>Referral</t>
        </is>
      </c>
      <c r="G1147" s="12" t="inlineStr">
        <is>
          <t>Free</t>
        </is>
      </c>
      <c r="H1147" s="12" t="n">
        <v>1</v>
      </c>
      <c r="I1147" s="12" t="n">
        <v>1</v>
      </c>
      <c r="J1147" s="12" t="n">
        <v>1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/>
      <c r="P1147" s="12" t="n">
        <v>72</v>
      </c>
    </row>
    <row r="1148">
      <c r="A1148" s="12" t="inlineStr">
        <is>
          <t>USR-101147</t>
        </is>
      </c>
      <c r="B1148" s="29" t="n">
        <v>45779</v>
      </c>
      <c r="C1148" s="12" t="inlineStr">
        <is>
          <t>Treatment</t>
        </is>
      </c>
      <c r="D1148" s="12" t="inlineStr">
        <is>
          <t>South</t>
        </is>
      </c>
      <c r="E1148" s="12" t="inlineStr">
        <is>
          <t>Mobile</t>
        </is>
      </c>
      <c r="F1148" s="12" t="inlineStr">
        <is>
          <t>Social</t>
        </is>
      </c>
      <c r="G1148" s="12" t="inlineStr">
        <is>
          <t>Premium</t>
        </is>
      </c>
      <c r="H1148" s="12" t="n">
        <v>1</v>
      </c>
      <c r="I1148" s="12" t="n">
        <v>1</v>
      </c>
      <c r="J1148" s="12" t="n">
        <v>1</v>
      </c>
      <c r="K1148" s="12" t="n">
        <v>1</v>
      </c>
      <c r="L1148" s="12" t="n">
        <v>1858.85</v>
      </c>
      <c r="M1148" s="12" t="n">
        <v>0</v>
      </c>
      <c r="N1148" s="12" t="n">
        <v>0</v>
      </c>
      <c r="O1148" s="12" t="n">
        <v>8</v>
      </c>
      <c r="P1148" s="12" t="n">
        <v>88.59999999999999</v>
      </c>
    </row>
    <row r="1149">
      <c r="A1149" s="12" t="inlineStr">
        <is>
          <t>USR-101148</t>
        </is>
      </c>
      <c r="B1149" s="29" t="n">
        <v>45803</v>
      </c>
      <c r="C1149" s="12" t="inlineStr">
        <is>
          <t>Treatment</t>
        </is>
      </c>
      <c r="D1149" s="12" t="inlineStr">
        <is>
          <t>East</t>
        </is>
      </c>
      <c r="E1149" s="12" t="inlineStr">
        <is>
          <t>Desktop</t>
        </is>
      </c>
      <c r="F1149" s="12" t="n"/>
      <c r="G1149" s="12" t="inlineStr">
        <is>
          <t>Basic</t>
        </is>
      </c>
      <c r="H1149" s="12" t="n">
        <v>1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/>
      <c r="P1149" s="12" t="n">
        <v>77.59999999999999</v>
      </c>
    </row>
    <row r="1150">
      <c r="A1150" s="12" t="inlineStr">
        <is>
          <t>USR-101149</t>
        </is>
      </c>
      <c r="B1150" s="29" t="n">
        <v>45729</v>
      </c>
      <c r="C1150" s="12" t="inlineStr">
        <is>
          <t>Treatment</t>
        </is>
      </c>
      <c r="D1150" s="12" t="inlineStr">
        <is>
          <t>South</t>
        </is>
      </c>
      <c r="E1150" s="12" t="inlineStr">
        <is>
          <t>Mobile</t>
        </is>
      </c>
      <c r="F1150" s="12" t="inlineStr">
        <is>
          <t>Organic</t>
        </is>
      </c>
      <c r="G1150" s="12" t="inlineStr">
        <is>
          <t>Basic</t>
        </is>
      </c>
      <c r="H1150" s="12" t="n">
        <v>1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1</v>
      </c>
      <c r="N1150" s="12" t="n">
        <v>0</v>
      </c>
      <c r="O1150" s="12" t="n"/>
      <c r="P1150" s="12" t="n">
        <v>44.3</v>
      </c>
    </row>
    <row r="1151">
      <c r="A1151" s="12" t="inlineStr">
        <is>
          <t>USR-101150</t>
        </is>
      </c>
      <c r="B1151" s="29" t="n">
        <v>45794</v>
      </c>
      <c r="C1151" s="12" t="inlineStr">
        <is>
          <t>Treatment</t>
        </is>
      </c>
      <c r="D1151" s="12" t="inlineStr">
        <is>
          <t>South</t>
        </is>
      </c>
      <c r="E1151" s="12" t="inlineStr">
        <is>
          <t>Desktop</t>
        </is>
      </c>
      <c r="F1151" s="12" t="inlineStr">
        <is>
          <t>Paid Search</t>
        </is>
      </c>
      <c r="G1151" s="12" t="inlineStr">
        <is>
          <t>Free</t>
        </is>
      </c>
      <c r="H1151" s="12" t="n">
        <v>1</v>
      </c>
      <c r="I1151" s="12" t="n">
        <v>1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/>
      <c r="P1151" s="12" t="n">
        <v>49</v>
      </c>
    </row>
    <row r="1152">
      <c r="A1152" s="12" t="inlineStr">
        <is>
          <t>USR-101151</t>
        </is>
      </c>
      <c r="B1152" s="29" t="n">
        <v>45729</v>
      </c>
      <c r="C1152" s="12" t="inlineStr">
        <is>
          <t>Treatment</t>
        </is>
      </c>
      <c r="D1152" s="12" t="inlineStr">
        <is>
          <t>North</t>
        </is>
      </c>
      <c r="E1152" s="12" t="inlineStr">
        <is>
          <t>Desktop</t>
        </is>
      </c>
      <c r="F1152" s="12" t="inlineStr">
        <is>
          <t>Referral</t>
        </is>
      </c>
      <c r="G1152" s="12" t="inlineStr">
        <is>
          <t>Premium</t>
        </is>
      </c>
      <c r="H1152" s="12" t="n">
        <v>1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/>
      <c r="P1152" s="12" t="n">
        <v>53.9</v>
      </c>
    </row>
    <row r="1153">
      <c r="A1153" s="12" t="inlineStr">
        <is>
          <t>USR-101152</t>
        </is>
      </c>
      <c r="B1153" s="29" t="n">
        <v>45699</v>
      </c>
      <c r="C1153" s="12" t="inlineStr">
        <is>
          <t>Treatment</t>
        </is>
      </c>
      <c r="D1153" s="12" t="inlineStr">
        <is>
          <t>East</t>
        </is>
      </c>
      <c r="E1153" s="12" t="inlineStr">
        <is>
          <t>Desktop</t>
        </is>
      </c>
      <c r="F1153" s="12" t="inlineStr">
        <is>
          <t>Organic</t>
        </is>
      </c>
      <c r="G1153" s="12" t="inlineStr">
        <is>
          <t>Basic</t>
        </is>
      </c>
      <c r="H1153" s="12" t="n">
        <v>1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1</v>
      </c>
      <c r="N1153" s="12" t="n">
        <v>0</v>
      </c>
      <c r="O1153" s="12" t="n"/>
      <c r="P1153" s="12" t="n">
        <v>69</v>
      </c>
    </row>
    <row r="1154">
      <c r="A1154" s="12" t="inlineStr">
        <is>
          <t>USR-101153</t>
        </is>
      </c>
      <c r="B1154" s="29" t="n">
        <v>45717</v>
      </c>
      <c r="C1154" s="12" t="inlineStr">
        <is>
          <t>Treatment</t>
        </is>
      </c>
      <c r="D1154" s="12" t="inlineStr">
        <is>
          <t>West</t>
        </is>
      </c>
      <c r="E1154" s="12" t="inlineStr">
        <is>
          <t>Mobile</t>
        </is>
      </c>
      <c r="F1154" s="12" t="inlineStr">
        <is>
          <t>Social</t>
        </is>
      </c>
      <c r="G1154" s="12" t="inlineStr">
        <is>
          <t>Free</t>
        </is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/>
      <c r="P1154" s="12" t="n">
        <v>37.4</v>
      </c>
    </row>
    <row r="1155">
      <c r="A1155" s="12" t="inlineStr">
        <is>
          <t>USR-101154</t>
        </is>
      </c>
      <c r="B1155" s="29" t="n">
        <v>45762</v>
      </c>
      <c r="C1155" s="12" t="inlineStr">
        <is>
          <t>Treatment</t>
        </is>
      </c>
      <c r="D1155" s="12" t="inlineStr">
        <is>
          <t>West</t>
        </is>
      </c>
      <c r="E1155" s="12" t="inlineStr">
        <is>
          <t>Mobile</t>
        </is>
      </c>
      <c r="F1155" s="12" t="inlineStr">
        <is>
          <t>Organic</t>
        </is>
      </c>
      <c r="G1155" s="12" t="inlineStr">
        <is>
          <t>Basic</t>
        </is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/>
      <c r="P1155" s="12" t="n">
        <v>59</v>
      </c>
    </row>
    <row r="1156">
      <c r="A1156" s="12" t="inlineStr">
        <is>
          <t>USR-101155</t>
        </is>
      </c>
      <c r="B1156" s="29" t="n">
        <v>45690</v>
      </c>
      <c r="C1156" s="12" t="inlineStr">
        <is>
          <t>Treatment</t>
        </is>
      </c>
      <c r="D1156" s="12" t="inlineStr">
        <is>
          <t>East</t>
        </is>
      </c>
      <c r="E1156" s="12" t="inlineStr">
        <is>
          <t>Mobile</t>
        </is>
      </c>
      <c r="F1156" s="12" t="inlineStr">
        <is>
          <t>Organic</t>
        </is>
      </c>
      <c r="G1156" s="12" t="inlineStr">
        <is>
          <t>Premium</t>
        </is>
      </c>
      <c r="H1156" s="12" t="n">
        <v>1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/>
      <c r="P1156" s="12" t="n">
        <v>60.8</v>
      </c>
    </row>
    <row r="1157">
      <c r="A1157" s="12" t="inlineStr">
        <is>
          <t>USR-101156</t>
        </is>
      </c>
      <c r="B1157" s="29" t="n">
        <v>45796</v>
      </c>
      <c r="C1157" s="12" t="inlineStr">
        <is>
          <t>Treatment</t>
        </is>
      </c>
      <c r="D1157" s="12" t="inlineStr">
        <is>
          <t>South</t>
        </is>
      </c>
      <c r="E1157" s="12" t="inlineStr">
        <is>
          <t>Mobile</t>
        </is>
      </c>
      <c r="F1157" s="12" t="inlineStr">
        <is>
          <t>Email</t>
        </is>
      </c>
      <c r="G1157" s="12" t="inlineStr">
        <is>
          <t>Free</t>
        </is>
      </c>
      <c r="H1157" s="12" t="n">
        <v>1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/>
      <c r="P1157" s="12" t="n">
        <v>57.5</v>
      </c>
    </row>
    <row r="1158">
      <c r="A1158" s="12" t="inlineStr">
        <is>
          <t>USR-101157</t>
        </is>
      </c>
      <c r="B1158" s="29" t="n">
        <v>45662</v>
      </c>
      <c r="C1158" s="12" t="inlineStr">
        <is>
          <t>Treatment</t>
        </is>
      </c>
      <c r="D1158" s="12" t="inlineStr">
        <is>
          <t>West</t>
        </is>
      </c>
      <c r="E1158" s="12" t="inlineStr">
        <is>
          <t>Mobile</t>
        </is>
      </c>
      <c r="F1158" s="12" t="inlineStr">
        <is>
          <t>Referral</t>
        </is>
      </c>
      <c r="G1158" s="12" t="inlineStr">
        <is>
          <t>Free</t>
        </is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/>
      <c r="P1158" s="12" t="n">
        <v>84.2</v>
      </c>
    </row>
    <row r="1159">
      <c r="A1159" s="12" t="inlineStr">
        <is>
          <t>USR-101158</t>
        </is>
      </c>
      <c r="B1159" s="29" t="n">
        <v>45724</v>
      </c>
      <c r="C1159" s="12" t="inlineStr">
        <is>
          <t>Treatment</t>
        </is>
      </c>
      <c r="D1159" s="12" t="inlineStr">
        <is>
          <t>South</t>
        </is>
      </c>
      <c r="E1159" s="12" t="inlineStr">
        <is>
          <t>Mobile</t>
        </is>
      </c>
      <c r="F1159" s="12" t="inlineStr">
        <is>
          <t>Paid Search</t>
        </is>
      </c>
      <c r="G1159" s="12" t="inlineStr">
        <is>
          <t>Free</t>
        </is>
      </c>
      <c r="H1159" s="12" t="n">
        <v>1</v>
      </c>
      <c r="I1159" s="12" t="n">
        <v>1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/>
      <c r="P1159" s="12" t="n">
        <v>27.4</v>
      </c>
    </row>
    <row r="1160">
      <c r="A1160" s="12" t="inlineStr">
        <is>
          <t>USR-101159</t>
        </is>
      </c>
      <c r="B1160" s="29" t="n">
        <v>45728</v>
      </c>
      <c r="C1160" s="12" t="inlineStr">
        <is>
          <t>Treatment</t>
        </is>
      </c>
      <c r="D1160" s="12" t="inlineStr">
        <is>
          <t>West</t>
        </is>
      </c>
      <c r="E1160" s="12" t="inlineStr">
        <is>
          <t>Mobile</t>
        </is>
      </c>
      <c r="F1160" s="12" t="inlineStr">
        <is>
          <t>Email</t>
        </is>
      </c>
      <c r="G1160" s="12" t="inlineStr">
        <is>
          <t>Basic</t>
        </is>
      </c>
      <c r="H1160" s="12" t="n">
        <v>1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1</v>
      </c>
      <c r="N1160" s="12" t="n">
        <v>0</v>
      </c>
      <c r="O1160" s="12" t="n"/>
      <c r="P1160" s="12" t="n">
        <v>67.59999999999999</v>
      </c>
    </row>
    <row r="1161">
      <c r="A1161" s="12" t="inlineStr">
        <is>
          <t>USR-101160</t>
        </is>
      </c>
      <c r="B1161" s="29" t="n">
        <v>45681</v>
      </c>
      <c r="C1161" s="12" t="inlineStr">
        <is>
          <t>Treatment</t>
        </is>
      </c>
      <c r="D1161" s="12" t="inlineStr">
        <is>
          <t>West</t>
        </is>
      </c>
      <c r="E1161" s="12" t="inlineStr">
        <is>
          <t>Mobile</t>
        </is>
      </c>
      <c r="F1161" s="12" t="inlineStr">
        <is>
          <t>Organic</t>
        </is>
      </c>
      <c r="G1161" s="12" t="inlineStr">
        <is>
          <t>Free</t>
        </is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/>
      <c r="P1161" s="12" t="n">
        <v>68.40000000000001</v>
      </c>
    </row>
    <row r="1162">
      <c r="A1162" s="12" t="inlineStr">
        <is>
          <t>USR-101161</t>
        </is>
      </c>
      <c r="B1162" s="29" t="n">
        <v>45799</v>
      </c>
      <c r="C1162" s="12" t="inlineStr">
        <is>
          <t>Treatment</t>
        </is>
      </c>
      <c r="D1162" s="12" t="inlineStr">
        <is>
          <t>South</t>
        </is>
      </c>
      <c r="E1162" s="12" t="inlineStr">
        <is>
          <t>Mobile</t>
        </is>
      </c>
      <c r="F1162" s="12" t="inlineStr">
        <is>
          <t>Paid Search</t>
        </is>
      </c>
      <c r="G1162" s="12" t="inlineStr">
        <is>
          <t>Basic</t>
        </is>
      </c>
      <c r="H1162" s="12" t="n">
        <v>1</v>
      </c>
      <c r="I1162" s="12" t="n">
        <v>1</v>
      </c>
      <c r="J1162" s="12" t="n">
        <v>1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/>
      <c r="P1162" s="12" t="n">
        <v>66.5</v>
      </c>
    </row>
    <row r="1163">
      <c r="A1163" s="12" t="inlineStr">
        <is>
          <t>USR-101162</t>
        </is>
      </c>
      <c r="B1163" s="29" t="n">
        <v>45743</v>
      </c>
      <c r="C1163" s="12" t="inlineStr">
        <is>
          <t>Treatment</t>
        </is>
      </c>
      <c r="D1163" s="12" t="inlineStr">
        <is>
          <t>South</t>
        </is>
      </c>
      <c r="E1163" s="12" t="inlineStr">
        <is>
          <t>Mobile</t>
        </is>
      </c>
      <c r="F1163" s="12" t="inlineStr">
        <is>
          <t>Paid Search</t>
        </is>
      </c>
      <c r="G1163" s="12" t="inlineStr">
        <is>
          <t>Free</t>
        </is>
      </c>
      <c r="H1163" s="12" t="n">
        <v>1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/>
      <c r="P1163" s="12" t="n">
        <v>38.2</v>
      </c>
    </row>
    <row r="1164">
      <c r="A1164" s="12" t="inlineStr">
        <is>
          <t>USR-101163</t>
        </is>
      </c>
      <c r="B1164" s="29" t="n">
        <v>45659</v>
      </c>
      <c r="C1164" s="12" t="inlineStr">
        <is>
          <t>Treatment</t>
        </is>
      </c>
      <c r="D1164" s="12" t="inlineStr">
        <is>
          <t>West</t>
        </is>
      </c>
      <c r="E1164" s="12" t="inlineStr">
        <is>
          <t>Mobile</t>
        </is>
      </c>
      <c r="F1164" s="12" t="inlineStr">
        <is>
          <t>Social</t>
        </is>
      </c>
      <c r="G1164" s="12" t="inlineStr">
        <is>
          <t>Free</t>
        </is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1</v>
      </c>
      <c r="N1164" s="12" t="n">
        <v>0</v>
      </c>
      <c r="O1164" s="12" t="n"/>
      <c r="P1164" s="12" t="n">
        <v>66.7</v>
      </c>
    </row>
    <row r="1165">
      <c r="A1165" s="12" t="inlineStr">
        <is>
          <t>USR-101164</t>
        </is>
      </c>
      <c r="B1165" s="29" t="n">
        <v>45712</v>
      </c>
      <c r="C1165" s="12" t="inlineStr">
        <is>
          <t>Treatment</t>
        </is>
      </c>
      <c r="D1165" s="12" t="inlineStr">
        <is>
          <t>North</t>
        </is>
      </c>
      <c r="E1165" s="12" t="inlineStr">
        <is>
          <t>Mobile</t>
        </is>
      </c>
      <c r="F1165" s="12" t="inlineStr">
        <is>
          <t>Paid Search</t>
        </is>
      </c>
      <c r="G1165" s="12" t="inlineStr">
        <is>
          <t>Free</t>
        </is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1</v>
      </c>
      <c r="N1165" s="12" t="n">
        <v>0</v>
      </c>
      <c r="O1165" s="12" t="n"/>
      <c r="P1165" s="12" t="n">
        <v>73.7</v>
      </c>
    </row>
    <row r="1166">
      <c r="A1166" s="12" t="inlineStr">
        <is>
          <t>USR-101165</t>
        </is>
      </c>
      <c r="B1166" s="29" t="n">
        <v>45717</v>
      </c>
      <c r="C1166" s="12" t="inlineStr">
        <is>
          <t>Treatment</t>
        </is>
      </c>
      <c r="D1166" s="12" t="inlineStr">
        <is>
          <t>West</t>
        </is>
      </c>
      <c r="E1166" s="12" t="inlineStr">
        <is>
          <t>Desktop</t>
        </is>
      </c>
      <c r="F1166" s="12" t="inlineStr">
        <is>
          <t>Organic</t>
        </is>
      </c>
      <c r="G1166" s="12" t="inlineStr">
        <is>
          <t>Basic</t>
        </is>
      </c>
      <c r="H1166" s="12" t="n">
        <v>1</v>
      </c>
      <c r="I1166" s="12" t="n">
        <v>1</v>
      </c>
      <c r="J1166" s="12" t="n">
        <v>1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/>
      <c r="P1166" s="12" t="n">
        <v>63.9</v>
      </c>
    </row>
    <row r="1167">
      <c r="A1167" s="12" t="inlineStr">
        <is>
          <t>USR-101166</t>
        </is>
      </c>
      <c r="B1167" s="29" t="n">
        <v>45742</v>
      </c>
      <c r="C1167" s="12" t="inlineStr">
        <is>
          <t>Treatment</t>
        </is>
      </c>
      <c r="D1167" s="12" t="inlineStr">
        <is>
          <t>South</t>
        </is>
      </c>
      <c r="E1167" s="12" t="inlineStr">
        <is>
          <t>Tablet</t>
        </is>
      </c>
      <c r="F1167" s="12" t="inlineStr">
        <is>
          <t>Organic</t>
        </is>
      </c>
      <c r="G1167" s="12" t="inlineStr">
        <is>
          <t>Basic</t>
        </is>
      </c>
      <c r="H1167" s="12" t="n">
        <v>1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1</v>
      </c>
      <c r="N1167" s="12" t="n">
        <v>0</v>
      </c>
      <c r="O1167" s="12" t="n"/>
      <c r="P1167" s="12" t="n">
        <v>82.59999999999999</v>
      </c>
    </row>
    <row r="1168">
      <c r="A1168" s="12" t="inlineStr">
        <is>
          <t>USR-101167</t>
        </is>
      </c>
      <c r="B1168" s="29" t="n">
        <v>45802</v>
      </c>
      <c r="C1168" s="12" t="inlineStr">
        <is>
          <t>Treatment</t>
        </is>
      </c>
      <c r="D1168" s="12" t="inlineStr">
        <is>
          <t>East</t>
        </is>
      </c>
      <c r="E1168" s="12" t="inlineStr">
        <is>
          <t>Mobile</t>
        </is>
      </c>
      <c r="F1168" s="12" t="inlineStr">
        <is>
          <t>Paid Search</t>
        </is>
      </c>
      <c r="G1168" s="12" t="inlineStr">
        <is>
          <t>Free</t>
        </is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1</v>
      </c>
      <c r="N1168" s="12" t="n">
        <v>0</v>
      </c>
      <c r="O1168" s="12" t="n"/>
      <c r="P1168" s="12" t="n">
        <v>58.3</v>
      </c>
    </row>
    <row r="1169">
      <c r="A1169" s="12" t="inlineStr">
        <is>
          <t>USR-101168</t>
        </is>
      </c>
      <c r="B1169" s="29" t="n">
        <v>45713</v>
      </c>
      <c r="C1169" s="12" t="inlineStr">
        <is>
          <t>Treatment</t>
        </is>
      </c>
      <c r="D1169" s="12" t="inlineStr">
        <is>
          <t>West</t>
        </is>
      </c>
      <c r="E1169" s="12" t="inlineStr">
        <is>
          <t>Mobile</t>
        </is>
      </c>
      <c r="F1169" s="12" t="inlineStr">
        <is>
          <t>Referral</t>
        </is>
      </c>
      <c r="G1169" s="12" t="inlineStr">
        <is>
          <t>Premium</t>
        </is>
      </c>
      <c r="H1169" s="12" t="n">
        <v>1</v>
      </c>
      <c r="I1169" s="12" t="n">
        <v>1</v>
      </c>
      <c r="J1169" s="12" t="n">
        <v>1</v>
      </c>
      <c r="K1169" s="12" t="n">
        <v>1</v>
      </c>
      <c r="L1169" s="12" t="n">
        <v>1547.06</v>
      </c>
      <c r="M1169" s="12" t="n">
        <v>0</v>
      </c>
      <c r="N1169" s="12" t="n">
        <v>1</v>
      </c>
      <c r="O1169" s="12" t="n">
        <v>2</v>
      </c>
      <c r="P1169" s="12" t="n">
        <v>72.90000000000001</v>
      </c>
    </row>
    <row r="1170">
      <c r="A1170" s="12" t="inlineStr">
        <is>
          <t>USR-101169</t>
        </is>
      </c>
      <c r="B1170" s="29" t="n">
        <v>45739</v>
      </c>
      <c r="C1170" s="12" t="inlineStr">
        <is>
          <t>Treatment</t>
        </is>
      </c>
      <c r="D1170" s="12" t="inlineStr">
        <is>
          <t>South</t>
        </is>
      </c>
      <c r="E1170" s="12" t="inlineStr">
        <is>
          <t>Mobile</t>
        </is>
      </c>
      <c r="F1170" s="12" t="inlineStr">
        <is>
          <t>Social</t>
        </is>
      </c>
      <c r="G1170" s="12" t="inlineStr">
        <is>
          <t>Free</t>
        </is>
      </c>
      <c r="H1170" s="12" t="n">
        <v>1</v>
      </c>
      <c r="I1170" s="12" t="n">
        <v>1</v>
      </c>
      <c r="J1170" s="12" t="n">
        <v>1</v>
      </c>
      <c r="K1170" s="12" t="n">
        <v>0</v>
      </c>
      <c r="L1170" s="12" t="n">
        <v>0</v>
      </c>
      <c r="M1170" s="12" t="n">
        <v>2</v>
      </c>
      <c r="N1170" s="12" t="n">
        <v>0</v>
      </c>
      <c r="O1170" s="12" t="n"/>
      <c r="P1170" s="12" t="n">
        <v>53.5</v>
      </c>
    </row>
    <row r="1171">
      <c r="A1171" s="12" t="inlineStr">
        <is>
          <t>USR-101170</t>
        </is>
      </c>
      <c r="B1171" s="29" t="n">
        <v>45768</v>
      </c>
      <c r="C1171" s="12" t="inlineStr">
        <is>
          <t>Treatment</t>
        </is>
      </c>
      <c r="D1171" s="12" t="inlineStr">
        <is>
          <t>West</t>
        </is>
      </c>
      <c r="E1171" s="12" t="inlineStr">
        <is>
          <t>Mobile</t>
        </is>
      </c>
      <c r="F1171" s="12" t="inlineStr">
        <is>
          <t>Referral</t>
        </is>
      </c>
      <c r="G1171" s="12" t="inlineStr">
        <is>
          <t>Free</t>
        </is>
      </c>
      <c r="H1171" s="12" t="n">
        <v>1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/>
      <c r="P1171" s="12" t="n">
        <v>54.8</v>
      </c>
    </row>
    <row r="1172">
      <c r="A1172" s="12" t="inlineStr">
        <is>
          <t>USR-101171</t>
        </is>
      </c>
      <c r="B1172" s="29" t="n">
        <v>45798</v>
      </c>
      <c r="C1172" s="12" t="inlineStr">
        <is>
          <t>Treatment</t>
        </is>
      </c>
      <c r="D1172" s="12" t="inlineStr">
        <is>
          <t>North</t>
        </is>
      </c>
      <c r="E1172" s="12" t="inlineStr">
        <is>
          <t>Mobile</t>
        </is>
      </c>
      <c r="F1172" s="12" t="inlineStr">
        <is>
          <t>Organic</t>
        </is>
      </c>
      <c r="G1172" s="12" t="inlineStr">
        <is>
          <t>Premium</t>
        </is>
      </c>
      <c r="H1172" s="12" t="n">
        <v>1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/>
      <c r="P1172" s="12" t="n">
        <v>69.5</v>
      </c>
    </row>
    <row r="1173">
      <c r="A1173" s="12" t="inlineStr">
        <is>
          <t>USR-101172</t>
        </is>
      </c>
      <c r="B1173" s="29" t="n">
        <v>45772</v>
      </c>
      <c r="C1173" s="12" t="inlineStr">
        <is>
          <t>Treatment</t>
        </is>
      </c>
      <c r="D1173" s="12" t="inlineStr">
        <is>
          <t>North</t>
        </is>
      </c>
      <c r="E1173" s="12" t="inlineStr">
        <is>
          <t>Desktop</t>
        </is>
      </c>
      <c r="F1173" s="12" t="inlineStr">
        <is>
          <t>Social</t>
        </is>
      </c>
      <c r="G1173" s="12" t="inlineStr">
        <is>
          <t>Free</t>
        </is>
      </c>
      <c r="H1173" s="12" t="n">
        <v>1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1</v>
      </c>
      <c r="N1173" s="12" t="n">
        <v>0</v>
      </c>
      <c r="O1173" s="12" t="n"/>
      <c r="P1173" s="12" t="n">
        <v>71.3</v>
      </c>
    </row>
    <row r="1174">
      <c r="A1174" s="12" t="inlineStr">
        <is>
          <t>USR-101173</t>
        </is>
      </c>
      <c r="B1174" s="29" t="n">
        <v>45800</v>
      </c>
      <c r="C1174" s="12" t="inlineStr">
        <is>
          <t>Treatment</t>
        </is>
      </c>
      <c r="D1174" s="12" t="inlineStr">
        <is>
          <t>West</t>
        </is>
      </c>
      <c r="E1174" s="12" t="inlineStr">
        <is>
          <t>Mobile</t>
        </is>
      </c>
      <c r="F1174" s="12" t="inlineStr">
        <is>
          <t>Referral</t>
        </is>
      </c>
      <c r="G1174" s="12" t="inlineStr">
        <is>
          <t>Basic</t>
        </is>
      </c>
      <c r="H1174" s="12" t="n">
        <v>1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1</v>
      </c>
      <c r="N1174" s="12" t="n">
        <v>0</v>
      </c>
      <c r="O1174" s="12" t="n"/>
      <c r="P1174" s="12" t="n">
        <v>57.5</v>
      </c>
    </row>
    <row r="1175">
      <c r="A1175" s="12" t="inlineStr">
        <is>
          <t>USR-101174</t>
        </is>
      </c>
      <c r="B1175" s="29" t="n">
        <v>45734</v>
      </c>
      <c r="C1175" s="12" t="inlineStr">
        <is>
          <t>Treatment</t>
        </is>
      </c>
      <c r="D1175" s="12" t="inlineStr">
        <is>
          <t>South</t>
        </is>
      </c>
      <c r="E1175" s="12" t="inlineStr">
        <is>
          <t>Mobile</t>
        </is>
      </c>
      <c r="F1175" s="12" t="inlineStr">
        <is>
          <t>Email</t>
        </is>
      </c>
      <c r="G1175" s="12" t="inlineStr">
        <is>
          <t>Free</t>
        </is>
      </c>
      <c r="H1175" s="12" t="n">
        <v>1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4</v>
      </c>
      <c r="N1175" s="12" t="n">
        <v>0</v>
      </c>
      <c r="O1175" s="12" t="n"/>
      <c r="P1175" s="12" t="n">
        <v>50.9</v>
      </c>
    </row>
    <row r="1176">
      <c r="A1176" s="12" t="inlineStr">
        <is>
          <t>USR-101175</t>
        </is>
      </c>
      <c r="B1176" s="29" t="n">
        <v>45660</v>
      </c>
      <c r="C1176" s="12" t="inlineStr">
        <is>
          <t>Treatment</t>
        </is>
      </c>
      <c r="D1176" s="12" t="inlineStr">
        <is>
          <t>South</t>
        </is>
      </c>
      <c r="E1176" s="12" t="inlineStr">
        <is>
          <t>Tablet</t>
        </is>
      </c>
      <c r="F1176" s="12" t="inlineStr">
        <is>
          <t>Organic</t>
        </is>
      </c>
      <c r="G1176" s="12" t="inlineStr">
        <is>
          <t>Free</t>
        </is>
      </c>
      <c r="H1176" s="12" t="n">
        <v>1</v>
      </c>
      <c r="I1176" s="12" t="n">
        <v>1</v>
      </c>
      <c r="J1176" s="12" t="n">
        <v>1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/>
      <c r="P1176" s="12" t="n">
        <v>69.3</v>
      </c>
    </row>
    <row r="1177">
      <c r="A1177" s="12" t="inlineStr">
        <is>
          <t>USR-101176</t>
        </is>
      </c>
      <c r="B1177" s="29" t="n">
        <v>45696</v>
      </c>
      <c r="C1177" s="12" t="inlineStr">
        <is>
          <t>Treatment</t>
        </is>
      </c>
      <c r="D1177" s="12" t="inlineStr">
        <is>
          <t>West</t>
        </is>
      </c>
      <c r="E1177" s="12" t="inlineStr">
        <is>
          <t>Desktop</t>
        </is>
      </c>
      <c r="F1177" s="12" t="inlineStr">
        <is>
          <t>Organic</t>
        </is>
      </c>
      <c r="G1177" s="12" t="inlineStr">
        <is>
          <t>Free</t>
        </is>
      </c>
      <c r="H1177" s="12" t="n">
        <v>1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/>
      <c r="P1177" s="12" t="n">
        <v>50.1</v>
      </c>
    </row>
    <row r="1178">
      <c r="A1178" s="12" t="inlineStr">
        <is>
          <t>USR-101177</t>
        </is>
      </c>
      <c r="B1178" s="29" t="n">
        <v>45692</v>
      </c>
      <c r="C1178" s="12" t="inlineStr">
        <is>
          <t>Treatment</t>
        </is>
      </c>
      <c r="D1178" s="12" t="inlineStr">
        <is>
          <t>East</t>
        </is>
      </c>
      <c r="E1178" s="12" t="n"/>
      <c r="F1178" s="12" t="inlineStr">
        <is>
          <t>Paid Search</t>
        </is>
      </c>
      <c r="G1178" s="12" t="inlineStr">
        <is>
          <t>Basic</t>
        </is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/>
      <c r="P1178" s="12" t="n">
        <v>69.7</v>
      </c>
    </row>
    <row r="1179">
      <c r="A1179" s="12" t="inlineStr">
        <is>
          <t>USR-101178</t>
        </is>
      </c>
      <c r="B1179" s="29" t="n">
        <v>45673</v>
      </c>
      <c r="C1179" s="12" t="inlineStr">
        <is>
          <t>Treatment</t>
        </is>
      </c>
      <c r="D1179" s="12" t="inlineStr">
        <is>
          <t>North</t>
        </is>
      </c>
      <c r="E1179" s="12" t="inlineStr">
        <is>
          <t>Mobile</t>
        </is>
      </c>
      <c r="F1179" s="12" t="inlineStr">
        <is>
          <t>Paid Search</t>
        </is>
      </c>
      <c r="G1179" s="12" t="inlineStr">
        <is>
          <t>Free</t>
        </is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/>
      <c r="P1179" s="12" t="n">
        <v>63.5</v>
      </c>
    </row>
    <row r="1180">
      <c r="A1180" s="12" t="inlineStr">
        <is>
          <t>USR-101179</t>
        </is>
      </c>
      <c r="B1180" s="29" t="n">
        <v>45751</v>
      </c>
      <c r="C1180" s="12" t="inlineStr">
        <is>
          <t>Treatment</t>
        </is>
      </c>
      <c r="D1180" s="12" t="inlineStr">
        <is>
          <t>West</t>
        </is>
      </c>
      <c r="E1180" s="12" t="inlineStr">
        <is>
          <t>Desktop</t>
        </is>
      </c>
      <c r="F1180" s="12" t="inlineStr">
        <is>
          <t>Paid Search</t>
        </is>
      </c>
      <c r="G1180" s="12" t="inlineStr">
        <is>
          <t>Free</t>
        </is>
      </c>
      <c r="H1180" s="12" t="n">
        <v>1</v>
      </c>
      <c r="I1180" s="12" t="n">
        <v>1</v>
      </c>
      <c r="J1180" s="12" t="n">
        <v>1</v>
      </c>
      <c r="K1180" s="12" t="n">
        <v>1</v>
      </c>
      <c r="L1180" s="12" t="n">
        <v>265.59</v>
      </c>
      <c r="M1180" s="12" t="n">
        <v>1</v>
      </c>
      <c r="N1180" s="12" t="n">
        <v>0</v>
      </c>
      <c r="O1180" s="12" t="n">
        <v>8</v>
      </c>
      <c r="P1180" s="12" t="n">
        <v>80.40000000000001</v>
      </c>
    </row>
    <row r="1181">
      <c r="A1181" s="12" t="inlineStr">
        <is>
          <t>USR-101180</t>
        </is>
      </c>
      <c r="B1181" s="29" t="n">
        <v>45680</v>
      </c>
      <c r="C1181" s="12" t="inlineStr">
        <is>
          <t>Treatment</t>
        </is>
      </c>
      <c r="D1181" s="12" t="inlineStr">
        <is>
          <t>North</t>
        </is>
      </c>
      <c r="E1181" s="12" t="inlineStr">
        <is>
          <t>Desktop</t>
        </is>
      </c>
      <c r="F1181" s="12" t="inlineStr">
        <is>
          <t>Paid Search</t>
        </is>
      </c>
      <c r="G1181" s="12" t="inlineStr">
        <is>
          <t>Free</t>
        </is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/>
      <c r="P1181" s="12" t="n">
        <v>58.9</v>
      </c>
    </row>
    <row r="1182">
      <c r="A1182" s="12" t="inlineStr">
        <is>
          <t>USR-101181</t>
        </is>
      </c>
      <c r="B1182" s="29" t="n">
        <v>45738</v>
      </c>
      <c r="C1182" s="12" t="inlineStr">
        <is>
          <t>Treatment</t>
        </is>
      </c>
      <c r="D1182" s="12" t="inlineStr">
        <is>
          <t>South</t>
        </is>
      </c>
      <c r="E1182" s="12" t="inlineStr">
        <is>
          <t>Desktop</t>
        </is>
      </c>
      <c r="F1182" s="12" t="inlineStr">
        <is>
          <t>Paid Search</t>
        </is>
      </c>
      <c r="G1182" s="12" t="inlineStr">
        <is>
          <t>Free</t>
        </is>
      </c>
      <c r="H1182" s="12" t="n">
        <v>1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/>
      <c r="P1182" s="12" t="n">
        <v>56.8</v>
      </c>
    </row>
    <row r="1183">
      <c r="A1183" s="12" t="inlineStr">
        <is>
          <t>USR-101182</t>
        </is>
      </c>
      <c r="B1183" s="29" t="n">
        <v>45690</v>
      </c>
      <c r="C1183" s="12" t="inlineStr">
        <is>
          <t>Treatment</t>
        </is>
      </c>
      <c r="D1183" s="12" t="inlineStr">
        <is>
          <t>East</t>
        </is>
      </c>
      <c r="E1183" s="12" t="inlineStr">
        <is>
          <t>Tablet</t>
        </is>
      </c>
      <c r="F1183" s="12" t="inlineStr">
        <is>
          <t>Social</t>
        </is>
      </c>
      <c r="G1183" s="12" t="inlineStr">
        <is>
          <t>Premium</t>
        </is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/>
      <c r="P1183" s="12" t="n">
        <v>73.90000000000001</v>
      </c>
    </row>
    <row r="1184">
      <c r="A1184" s="12" t="inlineStr">
        <is>
          <t>USR-101183</t>
        </is>
      </c>
      <c r="B1184" s="29" t="n">
        <v>45688</v>
      </c>
      <c r="C1184" s="12" t="inlineStr">
        <is>
          <t>Treatment</t>
        </is>
      </c>
      <c r="D1184" s="12" t="inlineStr">
        <is>
          <t>North</t>
        </is>
      </c>
      <c r="E1184" s="12" t="inlineStr">
        <is>
          <t>Desktop</t>
        </is>
      </c>
      <c r="F1184" s="12" t="inlineStr">
        <is>
          <t>Paid Search</t>
        </is>
      </c>
      <c r="G1184" s="12" t="inlineStr">
        <is>
          <t>Free</t>
        </is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/>
      <c r="P1184" s="12" t="n">
        <v>76.3</v>
      </c>
    </row>
    <row r="1185">
      <c r="A1185" s="12" t="inlineStr">
        <is>
          <t>USR-101184</t>
        </is>
      </c>
      <c r="B1185" s="29" t="n">
        <v>45804</v>
      </c>
      <c r="C1185" s="12" t="inlineStr">
        <is>
          <t>Treatment</t>
        </is>
      </c>
      <c r="D1185" s="12" t="inlineStr">
        <is>
          <t>West</t>
        </is>
      </c>
      <c r="E1185" s="12" t="inlineStr">
        <is>
          <t>Mobile</t>
        </is>
      </c>
      <c r="F1185" s="12" t="inlineStr">
        <is>
          <t>Organic</t>
        </is>
      </c>
      <c r="G1185" s="12" t="inlineStr">
        <is>
          <t>Basic</t>
        </is>
      </c>
      <c r="H1185" s="12" t="n">
        <v>1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/>
      <c r="P1185" s="12" t="n">
        <v>56.9</v>
      </c>
    </row>
    <row r="1186">
      <c r="A1186" s="12" t="inlineStr">
        <is>
          <t>USR-101185</t>
        </is>
      </c>
      <c r="B1186" s="29" t="n">
        <v>45784</v>
      </c>
      <c r="C1186" s="12" t="inlineStr">
        <is>
          <t>Treatment</t>
        </is>
      </c>
      <c r="D1186" s="12" t="inlineStr">
        <is>
          <t>North</t>
        </is>
      </c>
      <c r="E1186" s="12" t="inlineStr">
        <is>
          <t>Mobile</t>
        </is>
      </c>
      <c r="F1186" s="12" t="inlineStr">
        <is>
          <t>Organic</t>
        </is>
      </c>
      <c r="G1186" s="12" t="inlineStr">
        <is>
          <t>Premium</t>
        </is>
      </c>
      <c r="H1186" s="12" t="n">
        <v>1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2</v>
      </c>
      <c r="N1186" s="12" t="n">
        <v>0</v>
      </c>
      <c r="O1186" s="12" t="n"/>
      <c r="P1186" s="12" t="n">
        <v>49.4</v>
      </c>
    </row>
    <row r="1187">
      <c r="A1187" s="12" t="inlineStr">
        <is>
          <t>USR-101186</t>
        </is>
      </c>
      <c r="B1187" s="29" t="n">
        <v>45785</v>
      </c>
      <c r="C1187" s="12" t="inlineStr">
        <is>
          <t>Treatment</t>
        </is>
      </c>
      <c r="D1187" s="12" t="inlineStr">
        <is>
          <t>North</t>
        </is>
      </c>
      <c r="E1187" s="12" t="inlineStr">
        <is>
          <t>Desktop</t>
        </is>
      </c>
      <c r="F1187" s="12" t="inlineStr">
        <is>
          <t>Paid Search</t>
        </is>
      </c>
      <c r="G1187" s="12" t="inlineStr">
        <is>
          <t>Basic</t>
        </is>
      </c>
      <c r="H1187" s="12" t="n">
        <v>1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/>
      <c r="P1187" s="12" t="n">
        <v>86.7</v>
      </c>
    </row>
    <row r="1188">
      <c r="A1188" s="12" t="inlineStr">
        <is>
          <t>USR-101187</t>
        </is>
      </c>
      <c r="B1188" s="29" t="n">
        <v>45672</v>
      </c>
      <c r="C1188" s="12" t="inlineStr">
        <is>
          <t>Treatment</t>
        </is>
      </c>
      <c r="D1188" s="12" t="inlineStr">
        <is>
          <t>West</t>
        </is>
      </c>
      <c r="E1188" s="12" t="inlineStr">
        <is>
          <t>Desktop</t>
        </is>
      </c>
      <c r="F1188" s="12" t="inlineStr">
        <is>
          <t>Email</t>
        </is>
      </c>
      <c r="G1188" s="12" t="inlineStr">
        <is>
          <t>Free</t>
        </is>
      </c>
      <c r="H1188" s="12" t="n">
        <v>1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3</v>
      </c>
      <c r="N1188" s="12" t="n">
        <v>0</v>
      </c>
      <c r="O1188" s="12" t="n"/>
      <c r="P1188" s="12" t="n">
        <v>69</v>
      </c>
    </row>
    <row r="1189">
      <c r="A1189" s="12" t="inlineStr">
        <is>
          <t>USR-101188</t>
        </is>
      </c>
      <c r="B1189" s="29" t="n">
        <v>45675</v>
      </c>
      <c r="C1189" s="12" t="inlineStr">
        <is>
          <t>Treatment</t>
        </is>
      </c>
      <c r="D1189" s="12" t="inlineStr">
        <is>
          <t>North</t>
        </is>
      </c>
      <c r="E1189" s="12" t="inlineStr">
        <is>
          <t>Mobile</t>
        </is>
      </c>
      <c r="F1189" s="12" t="inlineStr">
        <is>
          <t>Paid Search</t>
        </is>
      </c>
      <c r="G1189" s="12" t="inlineStr">
        <is>
          <t>Free</t>
        </is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/>
      <c r="P1189" s="12" t="n">
        <v>84.5</v>
      </c>
    </row>
    <row r="1190">
      <c r="A1190" s="12" t="inlineStr">
        <is>
          <t>USR-101189</t>
        </is>
      </c>
      <c r="B1190" s="29" t="n">
        <v>45763</v>
      </c>
      <c r="C1190" s="12" t="inlineStr">
        <is>
          <t>Treatment</t>
        </is>
      </c>
      <c r="D1190" s="12" t="inlineStr">
        <is>
          <t>East</t>
        </is>
      </c>
      <c r="E1190" s="12" t="n"/>
      <c r="F1190" s="12" t="inlineStr">
        <is>
          <t>Referral</t>
        </is>
      </c>
      <c r="G1190" s="12" t="inlineStr">
        <is>
          <t>Free</t>
        </is>
      </c>
      <c r="H1190" s="12" t="n">
        <v>1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/>
      <c r="P1190" s="12" t="n">
        <v>66.3</v>
      </c>
    </row>
    <row r="1191">
      <c r="A1191" s="12" t="inlineStr">
        <is>
          <t>USR-101190</t>
        </is>
      </c>
      <c r="B1191" s="29" t="n">
        <v>45704</v>
      </c>
      <c r="C1191" s="12" t="inlineStr">
        <is>
          <t>Treatment</t>
        </is>
      </c>
      <c r="D1191" s="12" t="inlineStr">
        <is>
          <t>East</t>
        </is>
      </c>
      <c r="E1191" s="12" t="inlineStr">
        <is>
          <t>Desktop</t>
        </is>
      </c>
      <c r="F1191" s="12" t="inlineStr">
        <is>
          <t>Paid Search</t>
        </is>
      </c>
      <c r="G1191" s="12" t="inlineStr">
        <is>
          <t>Free</t>
        </is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/>
      <c r="P1191" s="12" t="n">
        <v>52.2</v>
      </c>
    </row>
    <row r="1192">
      <c r="A1192" s="12" t="inlineStr">
        <is>
          <t>USR-101191</t>
        </is>
      </c>
      <c r="B1192" s="29" t="n">
        <v>45764</v>
      </c>
      <c r="C1192" s="12" t="inlineStr">
        <is>
          <t>Treatment</t>
        </is>
      </c>
      <c r="D1192" s="12" t="inlineStr">
        <is>
          <t>South</t>
        </is>
      </c>
      <c r="E1192" s="12" t="inlineStr">
        <is>
          <t>Desktop</t>
        </is>
      </c>
      <c r="F1192" s="12" t="inlineStr">
        <is>
          <t>Referral</t>
        </is>
      </c>
      <c r="G1192" s="12" t="inlineStr">
        <is>
          <t>Premium</t>
        </is>
      </c>
      <c r="H1192" s="12" t="n">
        <v>1</v>
      </c>
      <c r="I1192" s="12" t="n">
        <v>1</v>
      </c>
      <c r="J1192" s="12" t="n">
        <v>1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/>
      <c r="P1192" s="12" t="n">
        <v>81.2</v>
      </c>
    </row>
    <row r="1193">
      <c r="A1193" s="12" t="inlineStr">
        <is>
          <t>USR-101192</t>
        </is>
      </c>
      <c r="B1193" s="29" t="n">
        <v>45777</v>
      </c>
      <c r="C1193" s="12" t="inlineStr">
        <is>
          <t>Treatment</t>
        </is>
      </c>
      <c r="D1193" s="12" t="inlineStr">
        <is>
          <t>South</t>
        </is>
      </c>
      <c r="E1193" s="12" t="inlineStr">
        <is>
          <t>Mobile</t>
        </is>
      </c>
      <c r="F1193" s="12" t="inlineStr">
        <is>
          <t>Organic</t>
        </is>
      </c>
      <c r="G1193" s="12" t="inlineStr">
        <is>
          <t>Basic</t>
        </is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/>
      <c r="P1193" s="12" t="n">
        <v>53.9</v>
      </c>
    </row>
    <row r="1194">
      <c r="A1194" s="12" t="inlineStr">
        <is>
          <t>USR-101193</t>
        </is>
      </c>
      <c r="B1194" s="29" t="n">
        <v>45686</v>
      </c>
      <c r="C1194" s="12" t="inlineStr">
        <is>
          <t>Treatment</t>
        </is>
      </c>
      <c r="D1194" s="12" t="inlineStr">
        <is>
          <t>West</t>
        </is>
      </c>
      <c r="E1194" s="12" t="inlineStr">
        <is>
          <t>Mobile</t>
        </is>
      </c>
      <c r="F1194" s="12" t="inlineStr">
        <is>
          <t>Social</t>
        </is>
      </c>
      <c r="G1194" s="12" t="inlineStr">
        <is>
          <t>Premium</t>
        </is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/>
      <c r="P1194" s="12" t="n">
        <v>39.1</v>
      </c>
    </row>
    <row r="1195">
      <c r="A1195" s="12" t="inlineStr">
        <is>
          <t>USR-101194</t>
        </is>
      </c>
      <c r="B1195" s="29" t="n">
        <v>45668</v>
      </c>
      <c r="C1195" s="12" t="inlineStr">
        <is>
          <t>Treatment</t>
        </is>
      </c>
      <c r="D1195" s="12" t="inlineStr">
        <is>
          <t>North</t>
        </is>
      </c>
      <c r="E1195" s="12" t="inlineStr">
        <is>
          <t>Mobile</t>
        </is>
      </c>
      <c r="F1195" s="12" t="inlineStr">
        <is>
          <t>Social</t>
        </is>
      </c>
      <c r="G1195" s="12" t="inlineStr">
        <is>
          <t>Basic</t>
        </is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/>
      <c r="P1195" s="12" t="n">
        <v>57.3</v>
      </c>
    </row>
    <row r="1196">
      <c r="A1196" s="12" t="inlineStr">
        <is>
          <t>USR-101195</t>
        </is>
      </c>
      <c r="B1196" s="29" t="n">
        <v>45755</v>
      </c>
      <c r="C1196" s="12" t="inlineStr">
        <is>
          <t>Treatment</t>
        </is>
      </c>
      <c r="D1196" s="12" t="inlineStr">
        <is>
          <t>East</t>
        </is>
      </c>
      <c r="E1196" s="12" t="inlineStr">
        <is>
          <t>Desktop</t>
        </is>
      </c>
      <c r="F1196" s="12" t="inlineStr">
        <is>
          <t>Paid Search</t>
        </is>
      </c>
      <c r="G1196" s="12" t="inlineStr">
        <is>
          <t>Premium</t>
        </is>
      </c>
      <c r="H1196" s="12" t="n">
        <v>1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1</v>
      </c>
      <c r="N1196" s="12" t="n">
        <v>0</v>
      </c>
      <c r="O1196" s="12" t="n"/>
      <c r="P1196" s="12" t="n">
        <v>65.90000000000001</v>
      </c>
    </row>
    <row r="1197">
      <c r="A1197" s="12" t="inlineStr">
        <is>
          <t>USR-101196</t>
        </is>
      </c>
      <c r="B1197" s="29" t="n">
        <v>45710</v>
      </c>
      <c r="C1197" s="12" t="inlineStr">
        <is>
          <t>Treatment</t>
        </is>
      </c>
      <c r="D1197" s="12" t="inlineStr">
        <is>
          <t>North</t>
        </is>
      </c>
      <c r="E1197" s="12" t="n"/>
      <c r="F1197" s="12" t="inlineStr">
        <is>
          <t>Social</t>
        </is>
      </c>
      <c r="G1197" s="12" t="inlineStr">
        <is>
          <t>Free</t>
        </is>
      </c>
      <c r="H1197" s="12" t="n">
        <v>1</v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1</v>
      </c>
      <c r="N1197" s="12" t="n">
        <v>0</v>
      </c>
      <c r="O1197" s="12" t="n"/>
      <c r="P1197" s="12" t="n">
        <v>34.2</v>
      </c>
    </row>
    <row r="1198">
      <c r="A1198" s="12" t="inlineStr">
        <is>
          <t>USR-101197</t>
        </is>
      </c>
      <c r="B1198" s="29" t="n">
        <v>45739</v>
      </c>
      <c r="C1198" s="12" t="inlineStr">
        <is>
          <t>Treatment</t>
        </is>
      </c>
      <c r="D1198" s="12" t="inlineStr">
        <is>
          <t>South</t>
        </is>
      </c>
      <c r="E1198" s="12" t="inlineStr">
        <is>
          <t>Mobile</t>
        </is>
      </c>
      <c r="F1198" s="12" t="inlineStr">
        <is>
          <t>Organic</t>
        </is>
      </c>
      <c r="G1198" s="12" t="inlineStr">
        <is>
          <t>Free</t>
        </is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/>
      <c r="P1198" s="12" t="n">
        <v>47.2</v>
      </c>
    </row>
    <row r="1199">
      <c r="A1199" s="12" t="inlineStr">
        <is>
          <t>USR-101198</t>
        </is>
      </c>
      <c r="B1199" s="29" t="n">
        <v>45800</v>
      </c>
      <c r="C1199" s="12" t="inlineStr">
        <is>
          <t>Treatment</t>
        </is>
      </c>
      <c r="D1199" s="12" t="inlineStr">
        <is>
          <t>South</t>
        </is>
      </c>
      <c r="E1199" s="12" t="inlineStr">
        <is>
          <t>Tablet</t>
        </is>
      </c>
      <c r="F1199" s="12" t="inlineStr">
        <is>
          <t>Paid Search</t>
        </is>
      </c>
      <c r="G1199" s="12" t="inlineStr">
        <is>
          <t>Free</t>
        </is>
      </c>
      <c r="H1199" s="12" t="n">
        <v>1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1</v>
      </c>
      <c r="N1199" s="12" t="n">
        <v>0</v>
      </c>
      <c r="O1199" s="12" t="n"/>
      <c r="P1199" s="12" t="n">
        <v>55</v>
      </c>
    </row>
    <row r="1200">
      <c r="A1200" s="12" t="inlineStr">
        <is>
          <t>USR-101199</t>
        </is>
      </c>
      <c r="B1200" s="29" t="n">
        <v>45774</v>
      </c>
      <c r="C1200" s="12" t="inlineStr">
        <is>
          <t>Treatment</t>
        </is>
      </c>
      <c r="D1200" s="12" t="inlineStr">
        <is>
          <t>West</t>
        </is>
      </c>
      <c r="E1200" s="12" t="inlineStr">
        <is>
          <t>Mobile</t>
        </is>
      </c>
      <c r="F1200" s="12" t="inlineStr">
        <is>
          <t>Referral</t>
        </is>
      </c>
      <c r="G1200" s="12" t="inlineStr">
        <is>
          <t>Basic</t>
        </is>
      </c>
      <c r="H1200" s="12" t="n">
        <v>1</v>
      </c>
      <c r="I1200" s="12" t="n">
        <v>1</v>
      </c>
      <c r="J1200" s="12" t="n">
        <v>1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/>
      <c r="P1200" s="12" t="n">
        <v>76.40000000000001</v>
      </c>
    </row>
    <row r="1201">
      <c r="A1201" s="12" t="inlineStr">
        <is>
          <t>USR-101200</t>
        </is>
      </c>
      <c r="B1201" s="29" t="n">
        <v>45803</v>
      </c>
      <c r="C1201" s="12" t="inlineStr">
        <is>
          <t>Treatment</t>
        </is>
      </c>
      <c r="D1201" s="12" t="inlineStr">
        <is>
          <t>North</t>
        </is>
      </c>
      <c r="E1201" s="12" t="inlineStr">
        <is>
          <t>Mobile</t>
        </is>
      </c>
      <c r="F1201" s="12" t="inlineStr">
        <is>
          <t>Referral</t>
        </is>
      </c>
      <c r="G1201" s="12" t="inlineStr">
        <is>
          <t>Free</t>
        </is>
      </c>
      <c r="H1201" s="12" t="n">
        <v>1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/>
      <c r="P1201" s="12" t="n">
        <v>70.8</v>
      </c>
    </row>
    <row r="1202">
      <c r="A1202" s="12" t="inlineStr">
        <is>
          <t>USR-101201</t>
        </is>
      </c>
      <c r="B1202" s="29" t="n">
        <v>45722</v>
      </c>
      <c r="C1202" s="12" t="inlineStr">
        <is>
          <t>Treatment</t>
        </is>
      </c>
      <c r="D1202" s="12" t="inlineStr">
        <is>
          <t>East</t>
        </is>
      </c>
      <c r="E1202" s="12" t="inlineStr">
        <is>
          <t>Mobile</t>
        </is>
      </c>
      <c r="F1202" s="12" t="inlineStr">
        <is>
          <t>Paid Search</t>
        </is>
      </c>
      <c r="G1202" s="12" t="inlineStr">
        <is>
          <t>Basic</t>
        </is>
      </c>
      <c r="H1202" s="12" t="n">
        <v>1</v>
      </c>
      <c r="I1202" s="12" t="n">
        <v>1</v>
      </c>
      <c r="J1202" s="12" t="n">
        <v>0</v>
      </c>
      <c r="K1202" s="12" t="n">
        <v>0</v>
      </c>
      <c r="L1202" s="12" t="n">
        <v>0</v>
      </c>
      <c r="M1202" s="12" t="n">
        <v>1</v>
      </c>
      <c r="N1202" s="12" t="n">
        <v>0</v>
      </c>
      <c r="O1202" s="12" t="n"/>
      <c r="P1202" s="12" t="n">
        <v>58</v>
      </c>
    </row>
    <row r="1203">
      <c r="A1203" s="12" t="inlineStr">
        <is>
          <t>USR-101202</t>
        </is>
      </c>
      <c r="B1203" s="29" t="n">
        <v>45750</v>
      </c>
      <c r="C1203" s="12" t="inlineStr">
        <is>
          <t>Treatment</t>
        </is>
      </c>
      <c r="D1203" s="12" t="inlineStr">
        <is>
          <t>West</t>
        </is>
      </c>
      <c r="E1203" s="12" t="inlineStr">
        <is>
          <t>Mobile</t>
        </is>
      </c>
      <c r="F1203" s="12" t="inlineStr">
        <is>
          <t>Organic</t>
        </is>
      </c>
      <c r="G1203" s="12" t="inlineStr">
        <is>
          <t>Basic</t>
        </is>
      </c>
      <c r="H1203" s="12" t="n">
        <v>1</v>
      </c>
      <c r="I1203" s="12" t="n">
        <v>1</v>
      </c>
      <c r="J1203" s="12" t="n">
        <v>1</v>
      </c>
      <c r="K1203" s="12" t="n">
        <v>0</v>
      </c>
      <c r="L1203" s="12" t="n">
        <v>0</v>
      </c>
      <c r="M1203" s="12" t="n">
        <v>1</v>
      </c>
      <c r="N1203" s="12" t="n">
        <v>0</v>
      </c>
      <c r="O1203" s="12" t="n"/>
      <c r="P1203" s="12" t="n">
        <v>70.8</v>
      </c>
    </row>
    <row r="1204">
      <c r="A1204" s="12" t="inlineStr">
        <is>
          <t>USR-101203</t>
        </is>
      </c>
      <c r="B1204" s="29" t="n">
        <v>45689</v>
      </c>
      <c r="C1204" s="12" t="inlineStr">
        <is>
          <t>Treatment</t>
        </is>
      </c>
      <c r="D1204" s="12" t="inlineStr">
        <is>
          <t>East</t>
        </is>
      </c>
      <c r="E1204" s="12" t="inlineStr">
        <is>
          <t>Desktop</t>
        </is>
      </c>
      <c r="F1204" s="12" t="inlineStr">
        <is>
          <t>Paid Search</t>
        </is>
      </c>
      <c r="G1204" s="12" t="inlineStr">
        <is>
          <t>Free</t>
        </is>
      </c>
      <c r="H1204" s="12" t="n">
        <v>1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3</v>
      </c>
      <c r="N1204" s="12" t="n">
        <v>0</v>
      </c>
      <c r="O1204" s="12" t="n"/>
      <c r="P1204" s="12" t="n">
        <v>60</v>
      </c>
    </row>
    <row r="1205">
      <c r="A1205" s="12" t="inlineStr">
        <is>
          <t>USR-101204</t>
        </is>
      </c>
      <c r="B1205" s="29" t="n">
        <v>45778</v>
      </c>
      <c r="C1205" s="12" t="inlineStr">
        <is>
          <t>Treatment</t>
        </is>
      </c>
      <c r="D1205" s="12" t="inlineStr">
        <is>
          <t>West</t>
        </is>
      </c>
      <c r="E1205" s="12" t="inlineStr">
        <is>
          <t>Mobile</t>
        </is>
      </c>
      <c r="F1205" s="12" t="inlineStr">
        <is>
          <t>Referral</t>
        </is>
      </c>
      <c r="G1205" s="12" t="inlineStr">
        <is>
          <t>Premium</t>
        </is>
      </c>
      <c r="H1205" s="12" t="n">
        <v>1</v>
      </c>
      <c r="I1205" s="12" t="n">
        <v>1</v>
      </c>
      <c r="J1205" s="12" t="n">
        <v>1</v>
      </c>
      <c r="K1205" s="12" t="n">
        <v>0</v>
      </c>
      <c r="L1205" s="12" t="n">
        <v>0</v>
      </c>
      <c r="M1205" s="12" t="n">
        <v>3</v>
      </c>
      <c r="N1205" s="12" t="n">
        <v>0</v>
      </c>
      <c r="O1205" s="12" t="n"/>
      <c r="P1205" s="12" t="n">
        <v>58.1</v>
      </c>
    </row>
    <row r="1206">
      <c r="A1206" s="12" t="inlineStr">
        <is>
          <t>USR-101205</t>
        </is>
      </c>
      <c r="B1206" s="29" t="n">
        <v>45760</v>
      </c>
      <c r="C1206" s="12" t="inlineStr">
        <is>
          <t>Treatment</t>
        </is>
      </c>
      <c r="D1206" s="12" t="inlineStr">
        <is>
          <t>North</t>
        </is>
      </c>
      <c r="E1206" s="12" t="inlineStr">
        <is>
          <t>Mobile</t>
        </is>
      </c>
      <c r="F1206" s="12" t="inlineStr">
        <is>
          <t>Social</t>
        </is>
      </c>
      <c r="G1206" s="12" t="inlineStr">
        <is>
          <t>Premium</t>
        </is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/>
      <c r="P1206" s="12" t="n">
        <v>59.7</v>
      </c>
    </row>
    <row r="1207">
      <c r="A1207" s="12" t="inlineStr">
        <is>
          <t>USR-101206</t>
        </is>
      </c>
      <c r="B1207" s="29" t="n">
        <v>45682</v>
      </c>
      <c r="C1207" s="12" t="inlineStr">
        <is>
          <t>Treatment</t>
        </is>
      </c>
      <c r="D1207" s="12" t="inlineStr">
        <is>
          <t>East</t>
        </is>
      </c>
      <c r="E1207" s="12" t="inlineStr">
        <is>
          <t>Mobile</t>
        </is>
      </c>
      <c r="F1207" s="12" t="inlineStr">
        <is>
          <t>Social</t>
        </is>
      </c>
      <c r="G1207" s="12" t="inlineStr">
        <is>
          <t>Free</t>
        </is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/>
      <c r="P1207" s="12" t="n">
        <v>47.7</v>
      </c>
    </row>
    <row r="1208">
      <c r="A1208" s="12" t="inlineStr">
        <is>
          <t>USR-101207</t>
        </is>
      </c>
      <c r="B1208" s="29" t="n">
        <v>45733</v>
      </c>
      <c r="C1208" s="12" t="inlineStr">
        <is>
          <t>Treatment</t>
        </is>
      </c>
      <c r="D1208" s="12" t="inlineStr">
        <is>
          <t>North</t>
        </is>
      </c>
      <c r="E1208" s="12" t="inlineStr">
        <is>
          <t>Mobile</t>
        </is>
      </c>
      <c r="F1208" s="12" t="inlineStr">
        <is>
          <t>Organic</t>
        </is>
      </c>
      <c r="G1208" s="12" t="inlineStr">
        <is>
          <t>Free</t>
        </is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/>
      <c r="P1208" s="12" t="n">
        <v>59.1</v>
      </c>
    </row>
    <row r="1209">
      <c r="A1209" s="12" t="inlineStr">
        <is>
          <t>USR-101208</t>
        </is>
      </c>
      <c r="B1209" s="29" t="n">
        <v>45709</v>
      </c>
      <c r="C1209" s="12" t="inlineStr">
        <is>
          <t>Treatment</t>
        </is>
      </c>
      <c r="D1209" s="12" t="inlineStr">
        <is>
          <t>West</t>
        </is>
      </c>
      <c r="E1209" s="12" t="inlineStr">
        <is>
          <t>Desktop</t>
        </is>
      </c>
      <c r="F1209" s="12" t="inlineStr">
        <is>
          <t>Social</t>
        </is>
      </c>
      <c r="G1209" s="12" t="inlineStr">
        <is>
          <t>Basic</t>
        </is>
      </c>
      <c r="H1209" s="12" t="n">
        <v>1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1</v>
      </c>
      <c r="N1209" s="12" t="n">
        <v>0</v>
      </c>
      <c r="O1209" s="12" t="n"/>
      <c r="P1209" s="12" t="n">
        <v>68.7</v>
      </c>
    </row>
    <row r="1210">
      <c r="A1210" s="12" t="inlineStr">
        <is>
          <t>USR-101209</t>
        </is>
      </c>
      <c r="B1210" s="29" t="n">
        <v>45755</v>
      </c>
      <c r="C1210" s="12" t="inlineStr">
        <is>
          <t>Treatment</t>
        </is>
      </c>
      <c r="D1210" s="12" t="inlineStr">
        <is>
          <t>East</t>
        </is>
      </c>
      <c r="E1210" s="12" t="inlineStr">
        <is>
          <t>Tablet</t>
        </is>
      </c>
      <c r="F1210" s="12" t="inlineStr">
        <is>
          <t>Organic</t>
        </is>
      </c>
      <c r="G1210" s="12" t="inlineStr">
        <is>
          <t>Basic</t>
        </is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/>
      <c r="P1210" s="12" t="n">
        <v>34.7</v>
      </c>
    </row>
    <row r="1211">
      <c r="A1211" s="12" t="inlineStr">
        <is>
          <t>USR-101210</t>
        </is>
      </c>
      <c r="B1211" s="29" t="n">
        <v>45712</v>
      </c>
      <c r="C1211" s="12" t="inlineStr">
        <is>
          <t>Treatment</t>
        </is>
      </c>
      <c r="D1211" s="12" t="inlineStr">
        <is>
          <t>West</t>
        </is>
      </c>
      <c r="E1211" s="12" t="inlineStr">
        <is>
          <t>Mobile</t>
        </is>
      </c>
      <c r="F1211" s="12" t="inlineStr">
        <is>
          <t>Organic</t>
        </is>
      </c>
      <c r="G1211" s="12" t="inlineStr">
        <is>
          <t>Basic</t>
        </is>
      </c>
      <c r="H1211" s="12" t="n">
        <v>1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/>
      <c r="P1211" s="12" t="n">
        <v>62</v>
      </c>
    </row>
    <row r="1212">
      <c r="A1212" s="12" t="inlineStr">
        <is>
          <t>USR-101211</t>
        </is>
      </c>
      <c r="B1212" s="29" t="n">
        <v>45806</v>
      </c>
      <c r="C1212" s="12" t="inlineStr">
        <is>
          <t>Treatment</t>
        </is>
      </c>
      <c r="D1212" s="12" t="inlineStr">
        <is>
          <t>South</t>
        </is>
      </c>
      <c r="E1212" s="12" t="inlineStr">
        <is>
          <t>Mobile</t>
        </is>
      </c>
      <c r="F1212" s="12" t="inlineStr">
        <is>
          <t>Organic</t>
        </is>
      </c>
      <c r="G1212" s="12" t="inlineStr">
        <is>
          <t>Free</t>
        </is>
      </c>
      <c r="H1212" s="12" t="n">
        <v>1</v>
      </c>
      <c r="I1212" s="12" t="n">
        <v>1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/>
      <c r="P1212" s="12" t="n">
        <v>56</v>
      </c>
    </row>
    <row r="1213">
      <c r="A1213" s="12" t="inlineStr">
        <is>
          <t>USR-101212</t>
        </is>
      </c>
      <c r="B1213" s="29" t="n">
        <v>45807</v>
      </c>
      <c r="C1213" s="12" t="inlineStr">
        <is>
          <t>Treatment</t>
        </is>
      </c>
      <c r="D1213" s="12" t="inlineStr">
        <is>
          <t>North</t>
        </is>
      </c>
      <c r="E1213" s="12" t="inlineStr">
        <is>
          <t>Mobile</t>
        </is>
      </c>
      <c r="F1213" s="12" t="inlineStr">
        <is>
          <t>Email</t>
        </is>
      </c>
      <c r="G1213" s="12" t="inlineStr">
        <is>
          <t>Basic</t>
        </is>
      </c>
      <c r="H1213" s="12" t="n">
        <v>1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1</v>
      </c>
      <c r="N1213" s="12" t="n">
        <v>0</v>
      </c>
      <c r="O1213" s="12" t="n"/>
      <c r="P1213" s="12" t="n">
        <v>65.8</v>
      </c>
    </row>
    <row r="1214">
      <c r="A1214" s="12" t="inlineStr">
        <is>
          <t>USR-101213</t>
        </is>
      </c>
      <c r="B1214" s="29" t="n">
        <v>45681</v>
      </c>
      <c r="C1214" s="12" t="inlineStr">
        <is>
          <t>Treatment</t>
        </is>
      </c>
      <c r="D1214" s="12" t="inlineStr">
        <is>
          <t>North</t>
        </is>
      </c>
      <c r="E1214" s="12" t="inlineStr">
        <is>
          <t>Desktop</t>
        </is>
      </c>
      <c r="F1214" s="12" t="inlineStr">
        <is>
          <t>Organic</t>
        </is>
      </c>
      <c r="G1214" s="12" t="inlineStr">
        <is>
          <t>Premium</t>
        </is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/>
      <c r="P1214" s="12" t="n">
        <v>54.7</v>
      </c>
    </row>
    <row r="1215">
      <c r="A1215" s="12" t="inlineStr">
        <is>
          <t>USR-101214</t>
        </is>
      </c>
      <c r="B1215" s="29" t="n">
        <v>45789</v>
      </c>
      <c r="C1215" s="12" t="inlineStr">
        <is>
          <t>Treatment</t>
        </is>
      </c>
      <c r="D1215" s="12" t="inlineStr">
        <is>
          <t>South</t>
        </is>
      </c>
      <c r="E1215" s="12" t="inlineStr">
        <is>
          <t>Mobile</t>
        </is>
      </c>
      <c r="F1215" s="12" t="inlineStr">
        <is>
          <t>Organic</t>
        </is>
      </c>
      <c r="G1215" s="12" t="inlineStr">
        <is>
          <t>Basic</t>
        </is>
      </c>
      <c r="H1215" s="12" t="n">
        <v>1</v>
      </c>
      <c r="I1215" s="12" t="n">
        <v>1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/>
      <c r="P1215" s="12" t="n">
        <v>64.09999999999999</v>
      </c>
    </row>
    <row r="1216">
      <c r="A1216" s="12" t="inlineStr">
        <is>
          <t>USR-101215</t>
        </is>
      </c>
      <c r="B1216" s="29" t="n">
        <v>45744</v>
      </c>
      <c r="C1216" s="12" t="inlineStr">
        <is>
          <t>Treatment</t>
        </is>
      </c>
      <c r="D1216" s="12" t="inlineStr">
        <is>
          <t>South</t>
        </is>
      </c>
      <c r="E1216" s="12" t="inlineStr">
        <is>
          <t>Mobile</t>
        </is>
      </c>
      <c r="F1216" s="12" t="inlineStr">
        <is>
          <t>Organic</t>
        </is>
      </c>
      <c r="G1216" s="12" t="inlineStr">
        <is>
          <t>Basic</t>
        </is>
      </c>
      <c r="H1216" s="12" t="n">
        <v>1</v>
      </c>
      <c r="I1216" s="12" t="n">
        <v>1</v>
      </c>
      <c r="J1216" s="12" t="n">
        <v>1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/>
      <c r="P1216" s="12" t="n">
        <v>71.59999999999999</v>
      </c>
    </row>
    <row r="1217">
      <c r="A1217" s="12" t="inlineStr">
        <is>
          <t>USR-101216</t>
        </is>
      </c>
      <c r="B1217" s="29" t="n">
        <v>45761</v>
      </c>
      <c r="C1217" s="12" t="inlineStr">
        <is>
          <t>Treatment</t>
        </is>
      </c>
      <c r="D1217" s="12" t="inlineStr">
        <is>
          <t>North</t>
        </is>
      </c>
      <c r="E1217" s="12" t="inlineStr">
        <is>
          <t>Mobile</t>
        </is>
      </c>
      <c r="F1217" s="12" t="inlineStr">
        <is>
          <t>Referral</t>
        </is>
      </c>
      <c r="G1217" s="12" t="inlineStr">
        <is>
          <t>Basic</t>
        </is>
      </c>
      <c r="H1217" s="12" t="n">
        <v>1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/>
      <c r="P1217" s="12" t="n">
        <v>78.40000000000001</v>
      </c>
    </row>
    <row r="1218">
      <c r="A1218" s="12" t="inlineStr">
        <is>
          <t>USR-101217</t>
        </is>
      </c>
      <c r="B1218" s="29" t="n">
        <v>45685</v>
      </c>
      <c r="C1218" s="12" t="inlineStr">
        <is>
          <t>Treatment</t>
        </is>
      </c>
      <c r="D1218" s="12" t="inlineStr">
        <is>
          <t>East</t>
        </is>
      </c>
      <c r="E1218" s="12" t="inlineStr">
        <is>
          <t>Tablet</t>
        </is>
      </c>
      <c r="F1218" s="12" t="inlineStr">
        <is>
          <t>Referral</t>
        </is>
      </c>
      <c r="G1218" s="12" t="inlineStr">
        <is>
          <t>Basic</t>
        </is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/>
      <c r="P1218" s="12" t="n">
        <v>49.3</v>
      </c>
    </row>
    <row r="1219">
      <c r="A1219" s="12" t="inlineStr">
        <is>
          <t>USR-101218</t>
        </is>
      </c>
      <c r="B1219" s="29" t="n">
        <v>45798</v>
      </c>
      <c r="C1219" s="12" t="inlineStr">
        <is>
          <t>Treatment</t>
        </is>
      </c>
      <c r="D1219" s="12" t="inlineStr">
        <is>
          <t>North</t>
        </is>
      </c>
      <c r="E1219" s="12" t="inlineStr">
        <is>
          <t>Mobile</t>
        </is>
      </c>
      <c r="F1219" s="12" t="inlineStr">
        <is>
          <t>Organic</t>
        </is>
      </c>
      <c r="G1219" s="12" t="inlineStr">
        <is>
          <t>Basic</t>
        </is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/>
      <c r="P1219" s="12" t="n">
        <v>52.8</v>
      </c>
    </row>
    <row r="1220">
      <c r="A1220" s="12" t="inlineStr">
        <is>
          <t>USR-101219</t>
        </is>
      </c>
      <c r="B1220" s="29" t="n">
        <v>45788</v>
      </c>
      <c r="C1220" s="12" t="inlineStr">
        <is>
          <t>Treatment</t>
        </is>
      </c>
      <c r="D1220" s="12" t="inlineStr">
        <is>
          <t>West</t>
        </is>
      </c>
      <c r="E1220" s="12" t="inlineStr">
        <is>
          <t>Desktop</t>
        </is>
      </c>
      <c r="F1220" s="12" t="inlineStr">
        <is>
          <t>Organic</t>
        </is>
      </c>
      <c r="G1220" s="12" t="inlineStr">
        <is>
          <t>Free</t>
        </is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/>
      <c r="P1220" s="12" t="n">
        <v>58.5</v>
      </c>
    </row>
    <row r="1221">
      <c r="A1221" s="12" t="inlineStr">
        <is>
          <t>USR-101220</t>
        </is>
      </c>
      <c r="B1221" s="29" t="n">
        <v>45690</v>
      </c>
      <c r="C1221" s="12" t="inlineStr">
        <is>
          <t>Treatment</t>
        </is>
      </c>
      <c r="D1221" s="12" t="inlineStr">
        <is>
          <t>South</t>
        </is>
      </c>
      <c r="E1221" s="12" t="inlineStr">
        <is>
          <t>Mobile</t>
        </is>
      </c>
      <c r="F1221" s="12" t="inlineStr">
        <is>
          <t>Paid Search</t>
        </is>
      </c>
      <c r="G1221" s="12" t="inlineStr">
        <is>
          <t>Free</t>
        </is>
      </c>
      <c r="H1221" s="12" t="n">
        <v>1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/>
      <c r="P1221" s="12" t="n">
        <v>55.9</v>
      </c>
    </row>
    <row r="1222">
      <c r="A1222" s="12" t="inlineStr">
        <is>
          <t>USR-101221</t>
        </is>
      </c>
      <c r="B1222" s="29" t="n">
        <v>45714</v>
      </c>
      <c r="C1222" s="12" t="inlineStr">
        <is>
          <t>Treatment</t>
        </is>
      </c>
      <c r="D1222" s="12" t="inlineStr">
        <is>
          <t>North</t>
        </is>
      </c>
      <c r="E1222" s="12" t="inlineStr">
        <is>
          <t>Mobile</t>
        </is>
      </c>
      <c r="F1222" s="12" t="inlineStr">
        <is>
          <t>Social</t>
        </is>
      </c>
      <c r="G1222" s="12" t="inlineStr">
        <is>
          <t>Free</t>
        </is>
      </c>
      <c r="H1222" s="12" t="n">
        <v>1</v>
      </c>
      <c r="I1222" s="12" t="n">
        <v>1</v>
      </c>
      <c r="J1222" s="12" t="n">
        <v>1</v>
      </c>
      <c r="K1222" s="12" t="n">
        <v>1</v>
      </c>
      <c r="L1222" s="12" t="n">
        <v>351.43</v>
      </c>
      <c r="M1222" s="12" t="n">
        <v>1</v>
      </c>
      <c r="N1222" s="12" t="n">
        <v>0</v>
      </c>
      <c r="O1222" s="12" t="n">
        <v>6</v>
      </c>
      <c r="P1222" s="12" t="n">
        <v>74.90000000000001</v>
      </c>
    </row>
    <row r="1223">
      <c r="A1223" s="12" t="inlineStr">
        <is>
          <t>USR-101222</t>
        </is>
      </c>
      <c r="B1223" s="29" t="n">
        <v>45715</v>
      </c>
      <c r="C1223" s="12" t="inlineStr">
        <is>
          <t>Treatment</t>
        </is>
      </c>
      <c r="D1223" s="12" t="inlineStr">
        <is>
          <t>South</t>
        </is>
      </c>
      <c r="E1223" s="12" t="inlineStr">
        <is>
          <t>Desktop</t>
        </is>
      </c>
      <c r="F1223" s="12" t="inlineStr">
        <is>
          <t>Referral</t>
        </is>
      </c>
      <c r="G1223" s="12" t="inlineStr">
        <is>
          <t>Free</t>
        </is>
      </c>
      <c r="H1223" s="12" t="n">
        <v>1</v>
      </c>
      <c r="I1223" s="12" t="n">
        <v>1</v>
      </c>
      <c r="J1223" s="12" t="n">
        <v>1</v>
      </c>
      <c r="K1223" s="12" t="n">
        <v>1</v>
      </c>
      <c r="L1223" s="12" t="n">
        <v>352.42</v>
      </c>
      <c r="M1223" s="12" t="n">
        <v>0</v>
      </c>
      <c r="N1223" s="12" t="n">
        <v>0</v>
      </c>
      <c r="O1223" s="12" t="n">
        <v>4</v>
      </c>
      <c r="P1223" s="12" t="n">
        <v>58.5</v>
      </c>
    </row>
    <row r="1224">
      <c r="A1224" s="12" t="inlineStr">
        <is>
          <t>USR-101223</t>
        </is>
      </c>
      <c r="B1224" s="29" t="n">
        <v>45725</v>
      </c>
      <c r="C1224" s="12" t="inlineStr">
        <is>
          <t>Treatment</t>
        </is>
      </c>
      <c r="D1224" s="12" t="inlineStr">
        <is>
          <t>West</t>
        </is>
      </c>
      <c r="E1224" s="12" t="inlineStr">
        <is>
          <t>Mobile</t>
        </is>
      </c>
      <c r="F1224" s="12" t="inlineStr">
        <is>
          <t>Organic</t>
        </is>
      </c>
      <c r="G1224" s="12" t="inlineStr">
        <is>
          <t>Free</t>
        </is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/>
      <c r="P1224" s="12" t="n">
        <v>63.5</v>
      </c>
    </row>
    <row r="1225">
      <c r="A1225" s="12" t="inlineStr">
        <is>
          <t>USR-101224</t>
        </is>
      </c>
      <c r="B1225" s="29" t="n">
        <v>45695</v>
      </c>
      <c r="C1225" s="12" t="inlineStr">
        <is>
          <t>Treatment</t>
        </is>
      </c>
      <c r="D1225" s="12" t="inlineStr">
        <is>
          <t>North</t>
        </is>
      </c>
      <c r="E1225" s="12" t="inlineStr">
        <is>
          <t>Mobile</t>
        </is>
      </c>
      <c r="F1225" s="12" t="inlineStr">
        <is>
          <t>Paid Search</t>
        </is>
      </c>
      <c r="G1225" s="12" t="inlineStr">
        <is>
          <t>Basic</t>
        </is>
      </c>
      <c r="H1225" s="12" t="n">
        <v>1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1</v>
      </c>
      <c r="N1225" s="12" t="n">
        <v>0</v>
      </c>
      <c r="O1225" s="12" t="n"/>
      <c r="P1225" s="12" t="n">
        <v>64.8</v>
      </c>
    </row>
    <row r="1226">
      <c r="A1226" s="12" t="inlineStr">
        <is>
          <t>USR-101225</t>
        </is>
      </c>
      <c r="B1226" s="29" t="n">
        <v>45688</v>
      </c>
      <c r="C1226" s="12" t="inlineStr">
        <is>
          <t>Treatment</t>
        </is>
      </c>
      <c r="D1226" s="12" t="inlineStr">
        <is>
          <t>West</t>
        </is>
      </c>
      <c r="E1226" s="12" t="inlineStr">
        <is>
          <t>Mobile</t>
        </is>
      </c>
      <c r="F1226" s="12" t="inlineStr">
        <is>
          <t>Social</t>
        </is>
      </c>
      <c r="G1226" s="12" t="inlineStr">
        <is>
          <t>Free</t>
        </is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/>
      <c r="P1226" s="12" t="n">
        <v>63.3</v>
      </c>
    </row>
    <row r="1227">
      <c r="A1227" s="12" t="inlineStr">
        <is>
          <t>USR-101226</t>
        </is>
      </c>
      <c r="B1227" s="29" t="n">
        <v>45702</v>
      </c>
      <c r="C1227" s="12" t="inlineStr">
        <is>
          <t>Treatment</t>
        </is>
      </c>
      <c r="D1227" s="12" t="inlineStr">
        <is>
          <t>North</t>
        </is>
      </c>
      <c r="E1227" s="12" t="inlineStr">
        <is>
          <t>Tablet</t>
        </is>
      </c>
      <c r="F1227" s="12" t="inlineStr">
        <is>
          <t>Paid Search</t>
        </is>
      </c>
      <c r="G1227" s="12" t="inlineStr">
        <is>
          <t>Basic</t>
        </is>
      </c>
      <c r="H1227" s="12" t="n">
        <v>1</v>
      </c>
      <c r="I1227" s="12" t="n">
        <v>1</v>
      </c>
      <c r="J1227" s="12" t="n">
        <v>1</v>
      </c>
      <c r="K1227" s="12" t="n">
        <v>1</v>
      </c>
      <c r="L1227" s="12" t="n">
        <v>1074.16</v>
      </c>
      <c r="M1227" s="12" t="n">
        <v>0</v>
      </c>
      <c r="N1227" s="12" t="n">
        <v>0</v>
      </c>
      <c r="O1227" s="12" t="n">
        <v>8</v>
      </c>
      <c r="P1227" s="12" t="n">
        <v>83.7</v>
      </c>
    </row>
    <row r="1228">
      <c r="A1228" s="12" t="inlineStr">
        <is>
          <t>USR-101227</t>
        </is>
      </c>
      <c r="B1228" s="29" t="n">
        <v>45700</v>
      </c>
      <c r="C1228" s="12" t="inlineStr">
        <is>
          <t>Treatment</t>
        </is>
      </c>
      <c r="D1228" s="12" t="inlineStr">
        <is>
          <t>South</t>
        </is>
      </c>
      <c r="E1228" s="12" t="inlineStr">
        <is>
          <t>Desktop</t>
        </is>
      </c>
      <c r="F1228" s="12" t="inlineStr">
        <is>
          <t>Social</t>
        </is>
      </c>
      <c r="G1228" s="12" t="inlineStr">
        <is>
          <t>Basic</t>
        </is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/>
      <c r="P1228" s="12" t="n">
        <v>88.7</v>
      </c>
    </row>
    <row r="1229">
      <c r="A1229" s="12" t="inlineStr">
        <is>
          <t>USR-101228</t>
        </is>
      </c>
      <c r="B1229" s="29" t="n">
        <v>45739</v>
      </c>
      <c r="C1229" s="12" t="inlineStr">
        <is>
          <t>Treatment</t>
        </is>
      </c>
      <c r="D1229" s="12" t="inlineStr">
        <is>
          <t>East</t>
        </is>
      </c>
      <c r="E1229" s="12" t="n"/>
      <c r="F1229" s="12" t="inlineStr">
        <is>
          <t>Paid Search</t>
        </is>
      </c>
      <c r="G1229" s="12" t="inlineStr">
        <is>
          <t>Free</t>
        </is>
      </c>
      <c r="H1229" s="12" t="n">
        <v>1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1</v>
      </c>
      <c r="N1229" s="12" t="n">
        <v>0</v>
      </c>
      <c r="O1229" s="12" t="n"/>
      <c r="P1229" s="12" t="n">
        <v>61.5</v>
      </c>
    </row>
    <row r="1230">
      <c r="A1230" s="12" t="inlineStr">
        <is>
          <t>USR-101229</t>
        </is>
      </c>
      <c r="B1230" s="29" t="n">
        <v>45734</v>
      </c>
      <c r="C1230" s="12" t="inlineStr">
        <is>
          <t>Treatment</t>
        </is>
      </c>
      <c r="D1230" s="12" t="inlineStr">
        <is>
          <t>West</t>
        </is>
      </c>
      <c r="E1230" s="12" t="inlineStr">
        <is>
          <t>Mobile</t>
        </is>
      </c>
      <c r="F1230" s="12" t="inlineStr">
        <is>
          <t>Paid Search</t>
        </is>
      </c>
      <c r="G1230" s="12" t="inlineStr">
        <is>
          <t>Free</t>
        </is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/>
      <c r="P1230" s="12" t="n">
        <v>45.3</v>
      </c>
    </row>
    <row r="1231">
      <c r="A1231" s="12" t="inlineStr">
        <is>
          <t>USR-101230</t>
        </is>
      </c>
      <c r="B1231" s="29" t="n">
        <v>45794</v>
      </c>
      <c r="C1231" s="12" t="inlineStr">
        <is>
          <t>Treatment</t>
        </is>
      </c>
      <c r="D1231" s="12" t="inlineStr">
        <is>
          <t>North</t>
        </is>
      </c>
      <c r="E1231" s="12" t="inlineStr">
        <is>
          <t>Mobile</t>
        </is>
      </c>
      <c r="F1231" s="12" t="inlineStr">
        <is>
          <t>Social</t>
        </is>
      </c>
      <c r="G1231" s="12" t="inlineStr">
        <is>
          <t>Free</t>
        </is>
      </c>
      <c r="H1231" s="12" t="n">
        <v>1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/>
      <c r="P1231" s="12" t="n">
        <v>37.3</v>
      </c>
    </row>
    <row r="1232">
      <c r="A1232" s="12" t="inlineStr">
        <is>
          <t>USR-101231</t>
        </is>
      </c>
      <c r="B1232" s="29" t="n">
        <v>45742</v>
      </c>
      <c r="C1232" s="12" t="inlineStr">
        <is>
          <t>Treatment</t>
        </is>
      </c>
      <c r="D1232" s="12" t="inlineStr">
        <is>
          <t>West</t>
        </is>
      </c>
      <c r="E1232" s="12" t="inlineStr">
        <is>
          <t>Desktop</t>
        </is>
      </c>
      <c r="F1232" s="12" t="inlineStr">
        <is>
          <t>Social</t>
        </is>
      </c>
      <c r="G1232" s="12" t="inlineStr">
        <is>
          <t>Premium</t>
        </is>
      </c>
      <c r="H1232" s="12" t="n">
        <v>1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1</v>
      </c>
      <c r="N1232" s="12" t="n">
        <v>0</v>
      </c>
      <c r="O1232" s="12" t="n"/>
      <c r="P1232" s="12" t="n">
        <v>76.09999999999999</v>
      </c>
    </row>
    <row r="1233">
      <c r="A1233" s="12" t="inlineStr">
        <is>
          <t>USR-101232</t>
        </is>
      </c>
      <c r="B1233" s="29" t="n">
        <v>45746</v>
      </c>
      <c r="C1233" s="12" t="inlineStr">
        <is>
          <t>Treatment</t>
        </is>
      </c>
      <c r="D1233" s="12" t="inlineStr">
        <is>
          <t>East</t>
        </is>
      </c>
      <c r="E1233" s="12" t="inlineStr">
        <is>
          <t>Mobile</t>
        </is>
      </c>
      <c r="F1233" s="12" t="inlineStr">
        <is>
          <t>Organic</t>
        </is>
      </c>
      <c r="G1233" s="12" t="inlineStr">
        <is>
          <t>Free</t>
        </is>
      </c>
      <c r="H1233" s="12" t="n">
        <v>1</v>
      </c>
      <c r="I1233" s="12" t="n">
        <v>1</v>
      </c>
      <c r="J1233" s="12" t="n">
        <v>1</v>
      </c>
      <c r="K1233" s="12" t="n">
        <v>0</v>
      </c>
      <c r="L1233" s="12" t="n">
        <v>0</v>
      </c>
      <c r="M1233" s="12" t="n">
        <v>1</v>
      </c>
      <c r="N1233" s="12" t="n">
        <v>0</v>
      </c>
      <c r="O1233" s="12" t="n"/>
      <c r="P1233" s="12" t="n">
        <v>72.5</v>
      </c>
    </row>
    <row r="1234">
      <c r="A1234" s="12" t="inlineStr">
        <is>
          <t>USR-101233</t>
        </is>
      </c>
      <c r="B1234" s="29" t="n">
        <v>45713</v>
      </c>
      <c r="C1234" s="12" t="inlineStr">
        <is>
          <t>Treatment</t>
        </is>
      </c>
      <c r="D1234" s="12" t="inlineStr">
        <is>
          <t>East</t>
        </is>
      </c>
      <c r="E1234" s="12" t="inlineStr">
        <is>
          <t>Desktop</t>
        </is>
      </c>
      <c r="F1234" s="12" t="inlineStr">
        <is>
          <t>Organic</t>
        </is>
      </c>
      <c r="G1234" s="12" t="inlineStr">
        <is>
          <t>Free</t>
        </is>
      </c>
      <c r="H1234" s="12" t="n">
        <v>1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/>
      <c r="P1234" s="12" t="n">
        <v>62.3</v>
      </c>
    </row>
    <row r="1235">
      <c r="A1235" s="12" t="inlineStr">
        <is>
          <t>USR-101234</t>
        </is>
      </c>
      <c r="B1235" s="29" t="n">
        <v>45717</v>
      </c>
      <c r="C1235" s="12" t="inlineStr">
        <is>
          <t>Treatment</t>
        </is>
      </c>
      <c r="D1235" s="12" t="inlineStr">
        <is>
          <t>East</t>
        </is>
      </c>
      <c r="E1235" s="12" t="inlineStr">
        <is>
          <t>Desktop</t>
        </is>
      </c>
      <c r="F1235" s="12" t="inlineStr">
        <is>
          <t>Social</t>
        </is>
      </c>
      <c r="G1235" s="12" t="inlineStr">
        <is>
          <t>Free</t>
        </is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/>
      <c r="P1235" s="12" t="n">
        <v>62.7</v>
      </c>
    </row>
    <row r="1236">
      <c r="A1236" s="12" t="inlineStr">
        <is>
          <t>USR-101235</t>
        </is>
      </c>
      <c r="B1236" s="29" t="n">
        <v>45804</v>
      </c>
      <c r="C1236" s="12" t="inlineStr">
        <is>
          <t>Treatment</t>
        </is>
      </c>
      <c r="D1236" s="12" t="inlineStr">
        <is>
          <t>North</t>
        </is>
      </c>
      <c r="E1236" s="12" t="inlineStr">
        <is>
          <t>Mobile</t>
        </is>
      </c>
      <c r="F1236" s="12" t="inlineStr">
        <is>
          <t>Paid Search</t>
        </is>
      </c>
      <c r="G1236" s="12" t="inlineStr">
        <is>
          <t>Basic</t>
        </is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/>
      <c r="P1236" s="12" t="n">
        <v>82.40000000000001</v>
      </c>
    </row>
    <row r="1237">
      <c r="A1237" s="12" t="inlineStr">
        <is>
          <t>USR-101236</t>
        </is>
      </c>
      <c r="B1237" s="29" t="n">
        <v>45693</v>
      </c>
      <c r="C1237" s="12" t="inlineStr">
        <is>
          <t>Treatment</t>
        </is>
      </c>
      <c r="D1237" s="12" t="inlineStr">
        <is>
          <t>West</t>
        </is>
      </c>
      <c r="E1237" s="12" t="inlineStr">
        <is>
          <t>Mobile</t>
        </is>
      </c>
      <c r="F1237" s="12" t="n"/>
      <c r="G1237" s="12" t="inlineStr">
        <is>
          <t>Premium</t>
        </is>
      </c>
      <c r="H1237" s="12" t="n">
        <v>1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/>
      <c r="P1237" s="12" t="n">
        <v>78.90000000000001</v>
      </c>
    </row>
    <row r="1238">
      <c r="A1238" s="12" t="inlineStr">
        <is>
          <t>USR-101237</t>
        </is>
      </c>
      <c r="B1238" s="29" t="n">
        <v>45682</v>
      </c>
      <c r="C1238" s="12" t="inlineStr">
        <is>
          <t>Treatment</t>
        </is>
      </c>
      <c r="D1238" s="12" t="inlineStr">
        <is>
          <t>West</t>
        </is>
      </c>
      <c r="E1238" s="12" t="inlineStr">
        <is>
          <t>Desktop</t>
        </is>
      </c>
      <c r="F1238" s="12" t="inlineStr">
        <is>
          <t>Email</t>
        </is>
      </c>
      <c r="G1238" s="12" t="inlineStr">
        <is>
          <t>Free</t>
        </is>
      </c>
      <c r="H1238" s="12" t="n">
        <v>1</v>
      </c>
      <c r="I1238" s="12" t="n">
        <v>1</v>
      </c>
      <c r="J1238" s="12" t="n">
        <v>1</v>
      </c>
      <c r="K1238" s="12" t="n">
        <v>1</v>
      </c>
      <c r="L1238" s="12" t="n">
        <v>618.91</v>
      </c>
      <c r="M1238" s="12" t="n">
        <v>0</v>
      </c>
      <c r="N1238" s="12" t="n">
        <v>0</v>
      </c>
      <c r="O1238" s="12" t="n">
        <v>4</v>
      </c>
      <c r="P1238" s="12" t="n">
        <v>67.8</v>
      </c>
    </row>
    <row r="1239">
      <c r="A1239" s="12" t="inlineStr">
        <is>
          <t>USR-101238</t>
        </is>
      </c>
      <c r="B1239" s="29" t="n">
        <v>45757</v>
      </c>
      <c r="C1239" s="12" t="inlineStr">
        <is>
          <t>Treatment</t>
        </is>
      </c>
      <c r="D1239" s="12" t="inlineStr">
        <is>
          <t>East</t>
        </is>
      </c>
      <c r="E1239" s="12" t="inlineStr">
        <is>
          <t>Mobile</t>
        </is>
      </c>
      <c r="F1239" s="12" t="inlineStr">
        <is>
          <t>Organic</t>
        </is>
      </c>
      <c r="G1239" s="12" t="inlineStr">
        <is>
          <t>Premium</t>
        </is>
      </c>
      <c r="H1239" s="12" t="n">
        <v>1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/>
      <c r="P1239" s="12" t="n">
        <v>68.8</v>
      </c>
    </row>
    <row r="1240">
      <c r="A1240" s="12" t="inlineStr">
        <is>
          <t>USR-101239</t>
        </is>
      </c>
      <c r="B1240" s="29" t="n">
        <v>45667</v>
      </c>
      <c r="C1240" s="12" t="inlineStr">
        <is>
          <t>Treatment</t>
        </is>
      </c>
      <c r="D1240" s="12" t="inlineStr">
        <is>
          <t>East</t>
        </is>
      </c>
      <c r="E1240" s="12" t="inlineStr">
        <is>
          <t>Mobile</t>
        </is>
      </c>
      <c r="F1240" s="12" t="inlineStr">
        <is>
          <t>Organic</t>
        </is>
      </c>
      <c r="G1240" s="12" t="inlineStr">
        <is>
          <t>Premium</t>
        </is>
      </c>
      <c r="H1240" s="12" t="n">
        <v>1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/>
      <c r="P1240" s="12" t="n">
        <v>67.7</v>
      </c>
    </row>
    <row r="1241">
      <c r="A1241" s="12" t="inlineStr">
        <is>
          <t>USR-101240</t>
        </is>
      </c>
      <c r="B1241" s="29" t="n">
        <v>45711</v>
      </c>
      <c r="C1241" s="12" t="inlineStr">
        <is>
          <t>Treatment</t>
        </is>
      </c>
      <c r="D1241" s="12" t="inlineStr">
        <is>
          <t>East</t>
        </is>
      </c>
      <c r="E1241" s="12" t="inlineStr">
        <is>
          <t>Mobile</t>
        </is>
      </c>
      <c r="F1241" s="12" t="n"/>
      <c r="G1241" s="12" t="inlineStr">
        <is>
          <t>Free</t>
        </is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/>
      <c r="P1241" s="12" t="n">
        <v>88</v>
      </c>
    </row>
    <row r="1242">
      <c r="A1242" s="12" t="inlineStr">
        <is>
          <t>USR-101241</t>
        </is>
      </c>
      <c r="B1242" s="29" t="n">
        <v>45800</v>
      </c>
      <c r="C1242" s="12" t="inlineStr">
        <is>
          <t>Treatment</t>
        </is>
      </c>
      <c r="D1242" s="12" t="inlineStr">
        <is>
          <t>West</t>
        </is>
      </c>
      <c r="E1242" s="12" t="inlineStr">
        <is>
          <t>Desktop</t>
        </is>
      </c>
      <c r="F1242" s="12" t="inlineStr">
        <is>
          <t>Organic</t>
        </is>
      </c>
      <c r="G1242" s="12" t="inlineStr">
        <is>
          <t>Basic</t>
        </is>
      </c>
      <c r="H1242" s="12" t="n">
        <v>1</v>
      </c>
      <c r="I1242" s="12" t="n">
        <v>1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/>
      <c r="P1242" s="12" t="n">
        <v>80.09999999999999</v>
      </c>
    </row>
    <row r="1243">
      <c r="A1243" s="12" t="inlineStr">
        <is>
          <t>USR-101242</t>
        </is>
      </c>
      <c r="B1243" s="29" t="n">
        <v>45724</v>
      </c>
      <c r="C1243" s="12" t="inlineStr">
        <is>
          <t>Treatment</t>
        </is>
      </c>
      <c r="D1243" s="12" t="inlineStr">
        <is>
          <t>North</t>
        </is>
      </c>
      <c r="E1243" s="12" t="inlineStr">
        <is>
          <t>Tablet</t>
        </is>
      </c>
      <c r="F1243" s="12" t="inlineStr">
        <is>
          <t>Email</t>
        </is>
      </c>
      <c r="G1243" s="12" t="inlineStr">
        <is>
          <t>Basic</t>
        </is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1</v>
      </c>
      <c r="N1243" s="12" t="n">
        <v>0</v>
      </c>
      <c r="O1243" s="12" t="n"/>
      <c r="P1243" s="12" t="n">
        <v>48.2</v>
      </c>
    </row>
    <row r="1244">
      <c r="A1244" s="12" t="inlineStr">
        <is>
          <t>USR-101243</t>
        </is>
      </c>
      <c r="B1244" s="29" t="n">
        <v>45798</v>
      </c>
      <c r="C1244" s="12" t="inlineStr">
        <is>
          <t>Treatment</t>
        </is>
      </c>
      <c r="D1244" s="12" t="inlineStr">
        <is>
          <t>East</t>
        </is>
      </c>
      <c r="E1244" s="12" t="inlineStr">
        <is>
          <t>Mobile</t>
        </is>
      </c>
      <c r="F1244" s="12" t="inlineStr">
        <is>
          <t>Organic</t>
        </is>
      </c>
      <c r="G1244" s="12" t="inlineStr">
        <is>
          <t>Basic</t>
        </is>
      </c>
      <c r="H1244" s="12" t="n">
        <v>1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/>
      <c r="P1244" s="12" t="n">
        <v>52.7</v>
      </c>
    </row>
    <row r="1245">
      <c r="A1245" s="12" t="inlineStr">
        <is>
          <t>USR-101244</t>
        </is>
      </c>
      <c r="B1245" s="29" t="n">
        <v>45769</v>
      </c>
      <c r="C1245" s="12" t="inlineStr">
        <is>
          <t>Treatment</t>
        </is>
      </c>
      <c r="D1245" s="12" t="inlineStr">
        <is>
          <t>North</t>
        </is>
      </c>
      <c r="E1245" s="12" t="inlineStr">
        <is>
          <t>Mobile</t>
        </is>
      </c>
      <c r="F1245" s="12" t="inlineStr">
        <is>
          <t>Email</t>
        </is>
      </c>
      <c r="G1245" s="12" t="inlineStr">
        <is>
          <t>Basic</t>
        </is>
      </c>
      <c r="H1245" s="12" t="n">
        <v>1</v>
      </c>
      <c r="I1245" s="12" t="n">
        <v>1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/>
      <c r="P1245" s="12" t="n">
        <v>59.9</v>
      </c>
    </row>
    <row r="1246">
      <c r="A1246" s="12" t="inlineStr">
        <is>
          <t>USR-101245</t>
        </is>
      </c>
      <c r="B1246" s="29" t="n">
        <v>45763</v>
      </c>
      <c r="C1246" s="12" t="inlineStr">
        <is>
          <t>Treatment</t>
        </is>
      </c>
      <c r="D1246" s="12" t="inlineStr">
        <is>
          <t>North</t>
        </is>
      </c>
      <c r="E1246" s="12" t="inlineStr">
        <is>
          <t>Mobile</t>
        </is>
      </c>
      <c r="F1246" s="12" t="inlineStr">
        <is>
          <t>Email</t>
        </is>
      </c>
      <c r="G1246" s="12" t="inlineStr">
        <is>
          <t>Premium</t>
        </is>
      </c>
      <c r="H1246" s="12" t="n">
        <v>1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/>
      <c r="P1246" s="12" t="n">
        <v>49.5</v>
      </c>
    </row>
    <row r="1247">
      <c r="A1247" s="12" t="inlineStr">
        <is>
          <t>USR-101246</t>
        </is>
      </c>
      <c r="B1247" s="29" t="n">
        <v>45785</v>
      </c>
      <c r="C1247" s="12" t="inlineStr">
        <is>
          <t>Treatment</t>
        </is>
      </c>
      <c r="D1247" s="12" t="inlineStr">
        <is>
          <t>North</t>
        </is>
      </c>
      <c r="E1247" s="12" t="inlineStr">
        <is>
          <t>Tablet</t>
        </is>
      </c>
      <c r="F1247" s="12" t="inlineStr">
        <is>
          <t>Organic</t>
        </is>
      </c>
      <c r="G1247" s="12" t="inlineStr">
        <is>
          <t>Free</t>
        </is>
      </c>
      <c r="H1247" s="12" t="n">
        <v>1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/>
      <c r="P1247" s="12" t="n">
        <v>41.5</v>
      </c>
    </row>
    <row r="1248">
      <c r="A1248" s="12" t="inlineStr">
        <is>
          <t>USR-101247</t>
        </is>
      </c>
      <c r="B1248" s="29" t="n">
        <v>45799</v>
      </c>
      <c r="C1248" s="12" t="inlineStr">
        <is>
          <t>Treatment</t>
        </is>
      </c>
      <c r="D1248" s="12" t="inlineStr">
        <is>
          <t>North</t>
        </is>
      </c>
      <c r="E1248" s="12" t="inlineStr">
        <is>
          <t>Mobile</t>
        </is>
      </c>
      <c r="F1248" s="12" t="inlineStr">
        <is>
          <t>Paid Search</t>
        </is>
      </c>
      <c r="G1248" s="12" t="inlineStr">
        <is>
          <t>Basic</t>
        </is>
      </c>
      <c r="H1248" s="12" t="n">
        <v>1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/>
      <c r="P1248" s="12" t="n">
        <v>71.2</v>
      </c>
    </row>
    <row r="1249">
      <c r="A1249" s="12" t="inlineStr">
        <is>
          <t>USR-101248</t>
        </is>
      </c>
      <c r="B1249" s="29" t="n">
        <v>45737</v>
      </c>
      <c r="C1249" s="12" t="inlineStr">
        <is>
          <t>Treatment</t>
        </is>
      </c>
      <c r="D1249" s="12" t="inlineStr">
        <is>
          <t>North</t>
        </is>
      </c>
      <c r="E1249" s="12" t="inlineStr">
        <is>
          <t>Mobile</t>
        </is>
      </c>
      <c r="F1249" s="12" t="inlineStr">
        <is>
          <t>Referral</t>
        </is>
      </c>
      <c r="G1249" s="12" t="inlineStr">
        <is>
          <t>Basic</t>
        </is>
      </c>
      <c r="H1249" s="12" t="n">
        <v>1</v>
      </c>
      <c r="I1249" s="12" t="n">
        <v>1</v>
      </c>
      <c r="J1249" s="12" t="n">
        <v>1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/>
      <c r="P1249" s="12" t="n">
        <v>65.8</v>
      </c>
    </row>
    <row r="1250">
      <c r="A1250" s="12" t="inlineStr">
        <is>
          <t>USR-101249</t>
        </is>
      </c>
      <c r="B1250" s="29" t="n">
        <v>45738</v>
      </c>
      <c r="C1250" s="12" t="inlineStr">
        <is>
          <t>Treatment</t>
        </is>
      </c>
      <c r="D1250" s="12" t="inlineStr">
        <is>
          <t>East</t>
        </is>
      </c>
      <c r="E1250" s="12" t="inlineStr">
        <is>
          <t>Mobile</t>
        </is>
      </c>
      <c r="F1250" s="12" t="inlineStr">
        <is>
          <t>Organic</t>
        </is>
      </c>
      <c r="G1250" s="12" t="inlineStr">
        <is>
          <t>Basic</t>
        </is>
      </c>
      <c r="H1250" s="12" t="n">
        <v>1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1</v>
      </c>
      <c r="N1250" s="12" t="n">
        <v>0</v>
      </c>
      <c r="O1250" s="12" t="n"/>
      <c r="P1250" s="12" t="n">
        <v>55.1</v>
      </c>
    </row>
    <row r="1251">
      <c r="A1251" s="12" t="inlineStr">
        <is>
          <t>USR-101250</t>
        </is>
      </c>
      <c r="B1251" s="29" t="n">
        <v>45667</v>
      </c>
      <c r="C1251" s="12" t="inlineStr">
        <is>
          <t>Treatment</t>
        </is>
      </c>
      <c r="D1251" s="12" t="inlineStr">
        <is>
          <t>West</t>
        </is>
      </c>
      <c r="E1251" s="12" t="inlineStr">
        <is>
          <t>Desktop</t>
        </is>
      </c>
      <c r="F1251" s="12" t="inlineStr">
        <is>
          <t>Social</t>
        </is>
      </c>
      <c r="G1251" s="12" t="inlineStr">
        <is>
          <t>Free</t>
        </is>
      </c>
      <c r="H1251" s="12" t="n">
        <v>1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/>
      <c r="P1251" s="12" t="n">
        <v>54.6</v>
      </c>
    </row>
    <row r="1252">
      <c r="A1252" s="12" t="inlineStr">
        <is>
          <t>USR-101251</t>
        </is>
      </c>
      <c r="B1252" s="29" t="n">
        <v>45689</v>
      </c>
      <c r="C1252" s="12" t="inlineStr">
        <is>
          <t>Treatment</t>
        </is>
      </c>
      <c r="D1252" s="12" t="inlineStr">
        <is>
          <t>East</t>
        </is>
      </c>
      <c r="E1252" s="12" t="inlineStr">
        <is>
          <t>Mobile</t>
        </is>
      </c>
      <c r="F1252" s="12" t="inlineStr">
        <is>
          <t>Organic</t>
        </is>
      </c>
      <c r="G1252" s="12" t="inlineStr">
        <is>
          <t>Basic</t>
        </is>
      </c>
      <c r="H1252" s="12" t="n">
        <v>1</v>
      </c>
      <c r="I1252" s="12" t="n">
        <v>1</v>
      </c>
      <c r="J1252" s="12" t="n">
        <v>1</v>
      </c>
      <c r="K1252" s="12" t="n">
        <v>1</v>
      </c>
      <c r="L1252" s="12" t="n">
        <v>923.67</v>
      </c>
      <c r="M1252" s="12" t="n">
        <v>0</v>
      </c>
      <c r="N1252" s="12" t="n">
        <v>0</v>
      </c>
      <c r="O1252" s="12" t="n">
        <v>4</v>
      </c>
      <c r="P1252" s="12" t="n">
        <v>81.90000000000001</v>
      </c>
    </row>
    <row r="1253">
      <c r="A1253" s="12" t="inlineStr">
        <is>
          <t>USR-101252</t>
        </is>
      </c>
      <c r="B1253" s="29" t="n">
        <v>45747</v>
      </c>
      <c r="C1253" s="12" t="inlineStr">
        <is>
          <t>Treatment</t>
        </is>
      </c>
      <c r="D1253" s="12" t="inlineStr">
        <is>
          <t>South</t>
        </is>
      </c>
      <c r="E1253" s="12" t="inlineStr">
        <is>
          <t>Mobile</t>
        </is>
      </c>
      <c r="F1253" s="12" t="inlineStr">
        <is>
          <t>Paid Search</t>
        </is>
      </c>
      <c r="G1253" s="12" t="inlineStr">
        <is>
          <t>Basic</t>
        </is>
      </c>
      <c r="H1253" s="12" t="n">
        <v>1</v>
      </c>
      <c r="I1253" s="12" t="n">
        <v>1</v>
      </c>
      <c r="J1253" s="12" t="n">
        <v>0</v>
      </c>
      <c r="K1253" s="12" t="n">
        <v>0</v>
      </c>
      <c r="L1253" s="12" t="n">
        <v>0</v>
      </c>
      <c r="M1253" s="12" t="n">
        <v>3</v>
      </c>
      <c r="N1253" s="12" t="n">
        <v>0</v>
      </c>
      <c r="O1253" s="12" t="n"/>
      <c r="P1253" s="12" t="n">
        <v>63.2</v>
      </c>
    </row>
    <row r="1254">
      <c r="A1254" s="12" t="inlineStr">
        <is>
          <t>USR-101253</t>
        </is>
      </c>
      <c r="B1254" s="29" t="n">
        <v>45772</v>
      </c>
      <c r="C1254" s="12" t="inlineStr">
        <is>
          <t>Treatment</t>
        </is>
      </c>
      <c r="D1254" s="12" t="inlineStr">
        <is>
          <t>North</t>
        </is>
      </c>
      <c r="E1254" s="12" t="inlineStr">
        <is>
          <t>Mobile</t>
        </is>
      </c>
      <c r="F1254" s="12" t="inlineStr">
        <is>
          <t>Paid Search</t>
        </is>
      </c>
      <c r="G1254" s="12" t="inlineStr">
        <is>
          <t>Free</t>
        </is>
      </c>
      <c r="H1254" s="12" t="n">
        <v>1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/>
      <c r="P1254" s="12" t="n">
        <v>55.4</v>
      </c>
    </row>
    <row r="1255">
      <c r="A1255" s="12" t="inlineStr">
        <is>
          <t>USR-101254</t>
        </is>
      </c>
      <c r="B1255" s="29" t="n">
        <v>45779</v>
      </c>
      <c r="C1255" s="12" t="inlineStr">
        <is>
          <t>Treatment</t>
        </is>
      </c>
      <c r="D1255" s="12" t="inlineStr">
        <is>
          <t>West</t>
        </is>
      </c>
      <c r="E1255" s="12" t="inlineStr">
        <is>
          <t>Mobile</t>
        </is>
      </c>
      <c r="F1255" s="12" t="inlineStr">
        <is>
          <t>Social</t>
        </is>
      </c>
      <c r="G1255" s="12" t="inlineStr">
        <is>
          <t>Basic</t>
        </is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/>
      <c r="P1255" s="12" t="n">
        <v>87.5</v>
      </c>
    </row>
    <row r="1256">
      <c r="A1256" s="12" t="inlineStr">
        <is>
          <t>USR-101255</t>
        </is>
      </c>
      <c r="B1256" s="29" t="n">
        <v>45724</v>
      </c>
      <c r="C1256" s="12" t="inlineStr">
        <is>
          <t>Treatment</t>
        </is>
      </c>
      <c r="D1256" s="12" t="inlineStr">
        <is>
          <t>South</t>
        </is>
      </c>
      <c r="E1256" s="12" t="inlineStr">
        <is>
          <t>Desktop</t>
        </is>
      </c>
      <c r="F1256" s="12" t="inlineStr">
        <is>
          <t>Social</t>
        </is>
      </c>
      <c r="G1256" s="12" t="inlineStr">
        <is>
          <t>Basic</t>
        </is>
      </c>
      <c r="H1256" s="12" t="n">
        <v>1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/>
      <c r="P1256" s="12" t="n">
        <v>48.5</v>
      </c>
    </row>
    <row r="1257">
      <c r="A1257" s="12" t="inlineStr">
        <is>
          <t>USR-101256</t>
        </is>
      </c>
      <c r="B1257" s="29" t="n">
        <v>45684</v>
      </c>
      <c r="C1257" s="12" t="inlineStr">
        <is>
          <t>Treatment</t>
        </is>
      </c>
      <c r="D1257" s="12" t="inlineStr">
        <is>
          <t>East</t>
        </is>
      </c>
      <c r="E1257" s="12" t="inlineStr">
        <is>
          <t>Desktop</t>
        </is>
      </c>
      <c r="F1257" s="12" t="n"/>
      <c r="G1257" s="12" t="inlineStr">
        <is>
          <t>Free</t>
        </is>
      </c>
      <c r="H1257" s="12" t="n">
        <v>1</v>
      </c>
      <c r="I1257" s="12" t="n">
        <v>1</v>
      </c>
      <c r="J1257" s="12" t="n">
        <v>1</v>
      </c>
      <c r="K1257" s="12" t="n">
        <v>1</v>
      </c>
      <c r="L1257" s="12" t="n">
        <v>420.27</v>
      </c>
      <c r="M1257" s="12" t="n">
        <v>0</v>
      </c>
      <c r="N1257" s="12" t="n">
        <v>0</v>
      </c>
      <c r="O1257" s="12" t="n">
        <v>6</v>
      </c>
      <c r="P1257" s="12" t="n">
        <v>58.4</v>
      </c>
    </row>
    <row r="1258">
      <c r="A1258" s="12" t="inlineStr">
        <is>
          <t>USR-101257</t>
        </is>
      </c>
      <c r="B1258" s="29" t="n">
        <v>45774</v>
      </c>
      <c r="C1258" s="12" t="inlineStr">
        <is>
          <t>Treatment</t>
        </is>
      </c>
      <c r="D1258" s="12" t="inlineStr">
        <is>
          <t>West</t>
        </is>
      </c>
      <c r="E1258" s="12" t="inlineStr">
        <is>
          <t>Mobile</t>
        </is>
      </c>
      <c r="F1258" s="12" t="inlineStr">
        <is>
          <t>Paid Search</t>
        </is>
      </c>
      <c r="G1258" s="12" t="inlineStr">
        <is>
          <t>Free</t>
        </is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/>
      <c r="P1258" s="12" t="n">
        <v>59.5</v>
      </c>
    </row>
    <row r="1259">
      <c r="A1259" s="12" t="inlineStr">
        <is>
          <t>USR-101258</t>
        </is>
      </c>
      <c r="B1259" s="29" t="n">
        <v>45673</v>
      </c>
      <c r="C1259" s="12" t="inlineStr">
        <is>
          <t>Treatment</t>
        </is>
      </c>
      <c r="D1259" s="12" t="inlineStr">
        <is>
          <t>West</t>
        </is>
      </c>
      <c r="E1259" s="12" t="inlineStr">
        <is>
          <t>Desktop</t>
        </is>
      </c>
      <c r="F1259" s="12" t="inlineStr">
        <is>
          <t>Paid Search</t>
        </is>
      </c>
      <c r="G1259" s="12" t="inlineStr">
        <is>
          <t>Basic</t>
        </is>
      </c>
      <c r="H1259" s="12" t="n">
        <v>1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/>
      <c r="P1259" s="12" t="n">
        <v>93.2</v>
      </c>
    </row>
    <row r="1260">
      <c r="A1260" s="12" t="inlineStr">
        <is>
          <t>USR-101259</t>
        </is>
      </c>
      <c r="B1260" s="29" t="n">
        <v>45675</v>
      </c>
      <c r="C1260" s="12" t="inlineStr">
        <is>
          <t>Treatment</t>
        </is>
      </c>
      <c r="D1260" s="12" t="inlineStr">
        <is>
          <t>West</t>
        </is>
      </c>
      <c r="E1260" s="12" t="inlineStr">
        <is>
          <t>Desktop</t>
        </is>
      </c>
      <c r="F1260" s="12" t="inlineStr">
        <is>
          <t>Paid Search</t>
        </is>
      </c>
      <c r="G1260" s="12" t="inlineStr">
        <is>
          <t>Basic</t>
        </is>
      </c>
      <c r="H1260" s="12" t="n">
        <v>1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/>
      <c r="P1260" s="12" t="n">
        <v>59</v>
      </c>
    </row>
    <row r="1261">
      <c r="A1261" s="12" t="inlineStr">
        <is>
          <t>USR-101260</t>
        </is>
      </c>
      <c r="B1261" s="29" t="n">
        <v>45737</v>
      </c>
      <c r="C1261" s="12" t="inlineStr">
        <is>
          <t>Treatment</t>
        </is>
      </c>
      <c r="D1261" s="12" t="inlineStr">
        <is>
          <t>North</t>
        </is>
      </c>
      <c r="E1261" s="12" t="inlineStr">
        <is>
          <t>Mobile</t>
        </is>
      </c>
      <c r="F1261" s="12" t="inlineStr">
        <is>
          <t>Organic</t>
        </is>
      </c>
      <c r="G1261" s="12" t="inlineStr">
        <is>
          <t>Free</t>
        </is>
      </c>
      <c r="H1261" s="12" t="n">
        <v>1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/>
      <c r="P1261" s="12" t="n">
        <v>37</v>
      </c>
    </row>
    <row r="1262">
      <c r="A1262" s="12" t="inlineStr">
        <is>
          <t>USR-101261</t>
        </is>
      </c>
      <c r="B1262" s="29" t="n">
        <v>45749</v>
      </c>
      <c r="C1262" s="12" t="inlineStr">
        <is>
          <t>Treatment</t>
        </is>
      </c>
      <c r="D1262" s="12" t="inlineStr">
        <is>
          <t>North</t>
        </is>
      </c>
      <c r="E1262" s="12" t="inlineStr">
        <is>
          <t>Desktop</t>
        </is>
      </c>
      <c r="F1262" s="12" t="inlineStr">
        <is>
          <t>Paid Search</t>
        </is>
      </c>
      <c r="G1262" s="12" t="inlineStr">
        <is>
          <t>Free</t>
        </is>
      </c>
      <c r="H1262" s="12" t="n">
        <v>1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/>
      <c r="P1262" s="12" t="n">
        <v>47.5</v>
      </c>
    </row>
    <row r="1263">
      <c r="A1263" s="12" t="inlineStr">
        <is>
          <t>USR-101262</t>
        </is>
      </c>
      <c r="B1263" s="29" t="n">
        <v>45704</v>
      </c>
      <c r="C1263" s="12" t="inlineStr">
        <is>
          <t>Treatment</t>
        </is>
      </c>
      <c r="D1263" s="12" t="inlineStr">
        <is>
          <t>West</t>
        </is>
      </c>
      <c r="E1263" s="12" t="inlineStr">
        <is>
          <t>Desktop</t>
        </is>
      </c>
      <c r="F1263" s="12" t="inlineStr">
        <is>
          <t>Organic</t>
        </is>
      </c>
      <c r="G1263" s="12" t="inlineStr">
        <is>
          <t>Free</t>
        </is>
      </c>
      <c r="H1263" s="12" t="n">
        <v>1</v>
      </c>
      <c r="I1263" s="12" t="n">
        <v>1</v>
      </c>
      <c r="J1263" s="12" t="n">
        <v>1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/>
      <c r="P1263" s="12" t="n">
        <v>78.7</v>
      </c>
    </row>
    <row r="1264">
      <c r="A1264" s="12" t="inlineStr">
        <is>
          <t>USR-101263</t>
        </is>
      </c>
      <c r="B1264" s="29" t="n">
        <v>45706</v>
      </c>
      <c r="C1264" s="12" t="inlineStr">
        <is>
          <t>Treatment</t>
        </is>
      </c>
      <c r="D1264" s="12" t="inlineStr">
        <is>
          <t>North</t>
        </is>
      </c>
      <c r="E1264" s="12" t="inlineStr">
        <is>
          <t>Mobile</t>
        </is>
      </c>
      <c r="F1264" s="12" t="inlineStr">
        <is>
          <t>Social</t>
        </is>
      </c>
      <c r="G1264" s="12" t="inlineStr">
        <is>
          <t>Free</t>
        </is>
      </c>
      <c r="H1264" s="12" t="n">
        <v>1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/>
      <c r="P1264" s="12" t="n">
        <v>49.6</v>
      </c>
    </row>
    <row r="1265">
      <c r="A1265" s="12" t="inlineStr">
        <is>
          <t>USR-101264</t>
        </is>
      </c>
      <c r="B1265" s="29" t="n">
        <v>45666</v>
      </c>
      <c r="C1265" s="12" t="inlineStr">
        <is>
          <t>Treatment</t>
        </is>
      </c>
      <c r="D1265" s="12" t="inlineStr">
        <is>
          <t>East</t>
        </is>
      </c>
      <c r="E1265" s="12" t="inlineStr">
        <is>
          <t>Mobile</t>
        </is>
      </c>
      <c r="F1265" s="12" t="inlineStr">
        <is>
          <t>Organic</t>
        </is>
      </c>
      <c r="G1265" s="12" t="inlineStr">
        <is>
          <t>Free</t>
        </is>
      </c>
      <c r="H1265" s="12" t="n">
        <v>1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/>
      <c r="P1265" s="12" t="n">
        <v>58</v>
      </c>
    </row>
    <row r="1266">
      <c r="A1266" s="12" t="inlineStr">
        <is>
          <t>USR-101265</t>
        </is>
      </c>
      <c r="B1266" s="29" t="n">
        <v>45706</v>
      </c>
      <c r="C1266" s="12" t="inlineStr">
        <is>
          <t>Treatment</t>
        </is>
      </c>
      <c r="D1266" s="12" t="inlineStr">
        <is>
          <t>North</t>
        </is>
      </c>
      <c r="E1266" s="12" t="inlineStr">
        <is>
          <t>Desktop</t>
        </is>
      </c>
      <c r="F1266" s="12" t="inlineStr">
        <is>
          <t>Paid Search</t>
        </is>
      </c>
      <c r="G1266" s="12" t="inlineStr">
        <is>
          <t>Free</t>
        </is>
      </c>
      <c r="H1266" s="12" t="n">
        <v>1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1</v>
      </c>
      <c r="N1266" s="12" t="n">
        <v>0</v>
      </c>
      <c r="O1266" s="12" t="n"/>
      <c r="P1266" s="12" t="n">
        <v>54.4</v>
      </c>
    </row>
    <row r="1267">
      <c r="A1267" s="12" t="inlineStr">
        <is>
          <t>USR-101266</t>
        </is>
      </c>
      <c r="B1267" s="29" t="n">
        <v>45667</v>
      </c>
      <c r="C1267" s="12" t="inlineStr">
        <is>
          <t>Treatment</t>
        </is>
      </c>
      <c r="D1267" s="12" t="inlineStr">
        <is>
          <t>East</t>
        </is>
      </c>
      <c r="E1267" s="12" t="inlineStr">
        <is>
          <t>Mobile</t>
        </is>
      </c>
      <c r="F1267" s="12" t="inlineStr">
        <is>
          <t>Referral</t>
        </is>
      </c>
      <c r="G1267" s="12" t="inlineStr">
        <is>
          <t>Free</t>
        </is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/>
      <c r="P1267" s="12" t="n">
        <v>33.7</v>
      </c>
    </row>
    <row r="1268">
      <c r="A1268" s="12" t="inlineStr">
        <is>
          <t>USR-101267</t>
        </is>
      </c>
      <c r="B1268" s="29" t="n">
        <v>45724</v>
      </c>
      <c r="C1268" s="12" t="inlineStr">
        <is>
          <t>Treatment</t>
        </is>
      </c>
      <c r="D1268" s="12" t="inlineStr">
        <is>
          <t>West</t>
        </is>
      </c>
      <c r="E1268" s="12" t="inlineStr">
        <is>
          <t>Mobile</t>
        </is>
      </c>
      <c r="F1268" s="12" t="inlineStr">
        <is>
          <t>Email</t>
        </is>
      </c>
      <c r="G1268" s="12" t="inlineStr">
        <is>
          <t>Free</t>
        </is>
      </c>
      <c r="H1268" s="12" t="n">
        <v>1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/>
      <c r="P1268" s="12" t="n">
        <v>72.7</v>
      </c>
    </row>
    <row r="1269">
      <c r="A1269" s="12" t="inlineStr">
        <is>
          <t>USR-101268</t>
        </is>
      </c>
      <c r="B1269" s="29" t="n">
        <v>45763</v>
      </c>
      <c r="C1269" s="12" t="inlineStr">
        <is>
          <t>Treatment</t>
        </is>
      </c>
      <c r="D1269" s="12" t="inlineStr">
        <is>
          <t>East</t>
        </is>
      </c>
      <c r="E1269" s="12" t="inlineStr">
        <is>
          <t>Desktop</t>
        </is>
      </c>
      <c r="F1269" s="12" t="inlineStr">
        <is>
          <t>Paid Search</t>
        </is>
      </c>
      <c r="G1269" s="12" t="inlineStr">
        <is>
          <t>Basic</t>
        </is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/>
      <c r="P1269" s="12" t="n">
        <v>64.7</v>
      </c>
    </row>
    <row r="1270">
      <c r="A1270" s="12" t="inlineStr">
        <is>
          <t>USR-101269</t>
        </is>
      </c>
      <c r="B1270" s="29" t="n">
        <v>45707</v>
      </c>
      <c r="C1270" s="12" t="inlineStr">
        <is>
          <t>Treatment</t>
        </is>
      </c>
      <c r="D1270" s="12" t="inlineStr">
        <is>
          <t>West</t>
        </is>
      </c>
      <c r="E1270" s="12" t="inlineStr">
        <is>
          <t>Desktop</t>
        </is>
      </c>
      <c r="F1270" s="12" t="inlineStr">
        <is>
          <t>Paid Search</t>
        </is>
      </c>
      <c r="G1270" s="12" t="inlineStr">
        <is>
          <t>Premium</t>
        </is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1</v>
      </c>
      <c r="N1270" s="12" t="n">
        <v>0</v>
      </c>
      <c r="O1270" s="12" t="n"/>
      <c r="P1270" s="12" t="n">
        <v>48.6</v>
      </c>
    </row>
    <row r="1271">
      <c r="A1271" s="12" t="inlineStr">
        <is>
          <t>USR-101270</t>
        </is>
      </c>
      <c r="B1271" s="29" t="n">
        <v>45732</v>
      </c>
      <c r="C1271" s="12" t="inlineStr">
        <is>
          <t>Treatment</t>
        </is>
      </c>
      <c r="D1271" s="12" t="inlineStr">
        <is>
          <t>East</t>
        </is>
      </c>
      <c r="E1271" s="12" t="inlineStr">
        <is>
          <t>Desktop</t>
        </is>
      </c>
      <c r="F1271" s="12" t="inlineStr">
        <is>
          <t>Social</t>
        </is>
      </c>
      <c r="G1271" s="12" t="inlineStr">
        <is>
          <t>Free</t>
        </is>
      </c>
      <c r="H1271" s="12" t="n">
        <v>1</v>
      </c>
      <c r="I1271" s="12" t="n">
        <v>1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/>
      <c r="P1271" s="12" t="n">
        <v>66.2</v>
      </c>
    </row>
    <row r="1272">
      <c r="A1272" s="12" t="inlineStr">
        <is>
          <t>USR-101271</t>
        </is>
      </c>
      <c r="B1272" s="29" t="n">
        <v>45691</v>
      </c>
      <c r="C1272" s="12" t="inlineStr">
        <is>
          <t>Treatment</t>
        </is>
      </c>
      <c r="D1272" s="12" t="inlineStr">
        <is>
          <t>West</t>
        </is>
      </c>
      <c r="E1272" s="12" t="n"/>
      <c r="F1272" s="12" t="inlineStr">
        <is>
          <t>Referral</t>
        </is>
      </c>
      <c r="G1272" s="12" t="inlineStr">
        <is>
          <t>Basic</t>
        </is>
      </c>
      <c r="H1272" s="12" t="n">
        <v>1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1</v>
      </c>
      <c r="N1272" s="12" t="n">
        <v>0</v>
      </c>
      <c r="O1272" s="12" t="n"/>
      <c r="P1272" s="12" t="n">
        <v>60.7</v>
      </c>
    </row>
    <row r="1273">
      <c r="A1273" s="12" t="inlineStr">
        <is>
          <t>USR-101272</t>
        </is>
      </c>
      <c r="B1273" s="29" t="n">
        <v>45728</v>
      </c>
      <c r="C1273" s="12" t="inlineStr">
        <is>
          <t>Treatment</t>
        </is>
      </c>
      <c r="D1273" s="12" t="inlineStr">
        <is>
          <t>West</t>
        </is>
      </c>
      <c r="E1273" s="12" t="inlineStr">
        <is>
          <t>Mobile</t>
        </is>
      </c>
      <c r="F1273" s="12" t="inlineStr">
        <is>
          <t>Paid Search</t>
        </is>
      </c>
      <c r="G1273" s="12" t="inlineStr">
        <is>
          <t>Basic</t>
        </is>
      </c>
      <c r="H1273" s="12" t="n">
        <v>1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/>
      <c r="P1273" s="12" t="n">
        <v>36.5</v>
      </c>
    </row>
    <row r="1274">
      <c r="A1274" s="12" t="inlineStr">
        <is>
          <t>USR-101273</t>
        </is>
      </c>
      <c r="B1274" s="29" t="n">
        <v>45786</v>
      </c>
      <c r="C1274" s="12" t="inlineStr">
        <is>
          <t>Treatment</t>
        </is>
      </c>
      <c r="D1274" s="12" t="inlineStr">
        <is>
          <t>West</t>
        </is>
      </c>
      <c r="E1274" s="12" t="inlineStr">
        <is>
          <t>Mobile</t>
        </is>
      </c>
      <c r="F1274" s="12" t="inlineStr">
        <is>
          <t>Social</t>
        </is>
      </c>
      <c r="G1274" s="12" t="inlineStr">
        <is>
          <t>Free</t>
        </is>
      </c>
      <c r="H1274" s="12" t="n">
        <v>1</v>
      </c>
      <c r="I1274" s="12" t="n">
        <v>1</v>
      </c>
      <c r="J1274" s="12" t="n">
        <v>1</v>
      </c>
      <c r="K1274" s="12" t="n">
        <v>0</v>
      </c>
      <c r="L1274" s="12" t="n">
        <v>0</v>
      </c>
      <c r="M1274" s="12" t="n">
        <v>3</v>
      </c>
      <c r="N1274" s="12" t="n">
        <v>0</v>
      </c>
      <c r="O1274" s="12" t="n"/>
      <c r="P1274" s="12" t="n">
        <v>69.7</v>
      </c>
    </row>
    <row r="1275">
      <c r="A1275" s="12" t="inlineStr">
        <is>
          <t>USR-101274</t>
        </is>
      </c>
      <c r="B1275" s="29" t="n">
        <v>45676</v>
      </c>
      <c r="C1275" s="12" t="inlineStr">
        <is>
          <t>Treatment</t>
        </is>
      </c>
      <c r="D1275" s="12" t="inlineStr">
        <is>
          <t>South</t>
        </is>
      </c>
      <c r="E1275" s="12" t="inlineStr">
        <is>
          <t>Desktop</t>
        </is>
      </c>
      <c r="F1275" s="12" t="inlineStr">
        <is>
          <t>Social</t>
        </is>
      </c>
      <c r="G1275" s="12" t="inlineStr">
        <is>
          <t>Premium</t>
        </is>
      </c>
      <c r="H1275" s="12" t="n">
        <v>1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/>
      <c r="P1275" s="12" t="n">
        <v>81.8</v>
      </c>
    </row>
    <row r="1276">
      <c r="A1276" s="12" t="inlineStr">
        <is>
          <t>USR-101275</t>
        </is>
      </c>
      <c r="B1276" s="29" t="n">
        <v>45681</v>
      </c>
      <c r="C1276" s="12" t="inlineStr">
        <is>
          <t>Treatment</t>
        </is>
      </c>
      <c r="D1276" s="12" t="inlineStr">
        <is>
          <t>West</t>
        </is>
      </c>
      <c r="E1276" s="12" t="inlineStr">
        <is>
          <t>Mobile</t>
        </is>
      </c>
      <c r="F1276" s="12" t="inlineStr">
        <is>
          <t>Referral</t>
        </is>
      </c>
      <c r="G1276" s="12" t="inlineStr">
        <is>
          <t>Free</t>
        </is>
      </c>
      <c r="H1276" s="12" t="n">
        <v>1</v>
      </c>
      <c r="I1276" s="12" t="n">
        <v>1</v>
      </c>
      <c r="J1276" s="12" t="n">
        <v>1</v>
      </c>
      <c r="K1276" s="12" t="n">
        <v>0</v>
      </c>
      <c r="L1276" s="12" t="n">
        <v>0</v>
      </c>
      <c r="M1276" s="12" t="n">
        <v>1</v>
      </c>
      <c r="N1276" s="12" t="n">
        <v>0</v>
      </c>
      <c r="O1276" s="12" t="n"/>
      <c r="P1276" s="12" t="n">
        <v>78.3</v>
      </c>
    </row>
    <row r="1277">
      <c r="A1277" s="12" t="inlineStr">
        <is>
          <t>USR-101276</t>
        </is>
      </c>
      <c r="B1277" s="29" t="n">
        <v>45719</v>
      </c>
      <c r="C1277" s="12" t="inlineStr">
        <is>
          <t>Treatment</t>
        </is>
      </c>
      <c r="D1277" s="12" t="inlineStr">
        <is>
          <t>East</t>
        </is>
      </c>
      <c r="E1277" s="12" t="inlineStr">
        <is>
          <t>Mobile</t>
        </is>
      </c>
      <c r="F1277" s="12" t="inlineStr">
        <is>
          <t>Referral</t>
        </is>
      </c>
      <c r="G1277" s="12" t="inlineStr">
        <is>
          <t>Free</t>
        </is>
      </c>
      <c r="H1277" s="12" t="n">
        <v>1</v>
      </c>
      <c r="I1277" s="12" t="n">
        <v>1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/>
      <c r="P1277" s="12" t="n">
        <v>79.40000000000001</v>
      </c>
    </row>
    <row r="1278">
      <c r="A1278" s="12" t="inlineStr">
        <is>
          <t>USR-101277</t>
        </is>
      </c>
      <c r="B1278" s="29" t="n">
        <v>45804</v>
      </c>
      <c r="C1278" s="12" t="inlineStr">
        <is>
          <t>Treatment</t>
        </is>
      </c>
      <c r="D1278" s="12" t="inlineStr">
        <is>
          <t>North</t>
        </is>
      </c>
      <c r="E1278" s="12" t="inlineStr">
        <is>
          <t>Desktop</t>
        </is>
      </c>
      <c r="F1278" s="12" t="inlineStr">
        <is>
          <t>Referral</t>
        </is>
      </c>
      <c r="G1278" s="12" t="inlineStr">
        <is>
          <t>Free</t>
        </is>
      </c>
      <c r="H1278" s="12" t="n">
        <v>1</v>
      </c>
      <c r="I1278" s="12" t="n">
        <v>1</v>
      </c>
      <c r="J1278" s="12" t="n">
        <v>1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/>
      <c r="P1278" s="12" t="n">
        <v>54.9</v>
      </c>
    </row>
    <row r="1279">
      <c r="A1279" s="12" t="inlineStr">
        <is>
          <t>USR-101278</t>
        </is>
      </c>
      <c r="B1279" s="29" t="n">
        <v>45770</v>
      </c>
      <c r="C1279" s="12" t="inlineStr">
        <is>
          <t>Treatment</t>
        </is>
      </c>
      <c r="D1279" s="12" t="inlineStr">
        <is>
          <t>West</t>
        </is>
      </c>
      <c r="E1279" s="12" t="inlineStr">
        <is>
          <t>Desktop</t>
        </is>
      </c>
      <c r="F1279" s="12" t="inlineStr">
        <is>
          <t>Organic</t>
        </is>
      </c>
      <c r="G1279" s="12" t="inlineStr">
        <is>
          <t>Basic</t>
        </is>
      </c>
      <c r="H1279" s="12" t="n">
        <v>1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/>
      <c r="P1279" s="12" t="n">
        <v>54.9</v>
      </c>
    </row>
    <row r="1280">
      <c r="A1280" s="12" t="inlineStr">
        <is>
          <t>USR-101279</t>
        </is>
      </c>
      <c r="B1280" s="29" t="n">
        <v>45698</v>
      </c>
      <c r="C1280" s="12" t="inlineStr">
        <is>
          <t>Treatment</t>
        </is>
      </c>
      <c r="D1280" s="12" t="inlineStr">
        <is>
          <t>East</t>
        </is>
      </c>
      <c r="E1280" s="12" t="inlineStr">
        <is>
          <t>Desktop</t>
        </is>
      </c>
      <c r="F1280" s="12" t="inlineStr">
        <is>
          <t>Social</t>
        </is>
      </c>
      <c r="G1280" s="12" t="inlineStr">
        <is>
          <t>Free</t>
        </is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/>
      <c r="P1280" s="12" t="n">
        <v>28.7</v>
      </c>
    </row>
    <row r="1281">
      <c r="A1281" s="12" t="inlineStr">
        <is>
          <t>USR-101280</t>
        </is>
      </c>
      <c r="B1281" s="29" t="n">
        <v>45699</v>
      </c>
      <c r="C1281" s="12" t="inlineStr">
        <is>
          <t>Treatment</t>
        </is>
      </c>
      <c r="D1281" s="12" t="inlineStr">
        <is>
          <t>North</t>
        </is>
      </c>
      <c r="E1281" s="12" t="inlineStr">
        <is>
          <t>Mobile</t>
        </is>
      </c>
      <c r="F1281" s="12" t="inlineStr">
        <is>
          <t>Organic</t>
        </is>
      </c>
      <c r="G1281" s="12" t="inlineStr">
        <is>
          <t>Free</t>
        </is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/>
      <c r="P1281" s="12" t="n">
        <v>68.8</v>
      </c>
    </row>
    <row r="1282">
      <c r="A1282" s="12" t="inlineStr">
        <is>
          <t>USR-101281</t>
        </is>
      </c>
      <c r="B1282" s="29" t="n">
        <v>45678</v>
      </c>
      <c r="C1282" s="12" t="inlineStr">
        <is>
          <t>Treatment</t>
        </is>
      </c>
      <c r="D1282" s="12" t="inlineStr">
        <is>
          <t>East</t>
        </is>
      </c>
      <c r="E1282" s="12" t="inlineStr">
        <is>
          <t>Desktop</t>
        </is>
      </c>
      <c r="F1282" s="12" t="inlineStr">
        <is>
          <t>Paid Search</t>
        </is>
      </c>
      <c r="G1282" s="12" t="inlineStr">
        <is>
          <t>Free</t>
        </is>
      </c>
      <c r="H1282" s="12" t="n">
        <v>1</v>
      </c>
      <c r="I1282" s="12" t="n">
        <v>1</v>
      </c>
      <c r="J1282" s="12" t="n">
        <v>1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/>
      <c r="P1282" s="12" t="n">
        <v>43.5</v>
      </c>
    </row>
    <row r="1283">
      <c r="A1283" s="12" t="inlineStr">
        <is>
          <t>USR-101282</t>
        </is>
      </c>
      <c r="B1283" s="29" t="n">
        <v>45690</v>
      </c>
      <c r="C1283" s="12" t="inlineStr">
        <is>
          <t>Treatment</t>
        </is>
      </c>
      <c r="D1283" s="12" t="inlineStr">
        <is>
          <t>West</t>
        </is>
      </c>
      <c r="E1283" s="12" t="inlineStr">
        <is>
          <t>Desktop</t>
        </is>
      </c>
      <c r="F1283" s="12" t="inlineStr">
        <is>
          <t>Social</t>
        </is>
      </c>
      <c r="G1283" s="12" t="inlineStr">
        <is>
          <t>Free</t>
        </is>
      </c>
      <c r="H1283" s="12" t="n">
        <v>1</v>
      </c>
      <c r="I1283" s="12" t="n">
        <v>1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/>
      <c r="P1283" s="12" t="n">
        <v>62.6</v>
      </c>
    </row>
    <row r="1284">
      <c r="A1284" s="12" t="inlineStr">
        <is>
          <t>USR-101283</t>
        </is>
      </c>
      <c r="B1284" s="29" t="n">
        <v>45690</v>
      </c>
      <c r="C1284" s="12" t="inlineStr">
        <is>
          <t>Treatment</t>
        </is>
      </c>
      <c r="D1284" s="12" t="inlineStr">
        <is>
          <t>West</t>
        </is>
      </c>
      <c r="E1284" s="12" t="inlineStr">
        <is>
          <t>Mobile</t>
        </is>
      </c>
      <c r="F1284" s="12" t="inlineStr">
        <is>
          <t>Organic</t>
        </is>
      </c>
      <c r="G1284" s="12" t="inlineStr">
        <is>
          <t>Free</t>
        </is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1</v>
      </c>
      <c r="N1284" s="12" t="n">
        <v>0</v>
      </c>
      <c r="O1284" s="12" t="n"/>
      <c r="P1284" s="12" t="n">
        <v>54.1</v>
      </c>
    </row>
    <row r="1285">
      <c r="A1285" s="12" t="inlineStr">
        <is>
          <t>USR-101284</t>
        </is>
      </c>
      <c r="B1285" s="29" t="n">
        <v>45714</v>
      </c>
      <c r="C1285" s="12" t="inlineStr">
        <is>
          <t>Treatment</t>
        </is>
      </c>
      <c r="D1285" s="12" t="inlineStr">
        <is>
          <t>West</t>
        </is>
      </c>
      <c r="E1285" s="12" t="inlineStr">
        <is>
          <t>Tablet</t>
        </is>
      </c>
      <c r="F1285" s="12" t="inlineStr">
        <is>
          <t>Social</t>
        </is>
      </c>
      <c r="G1285" s="12" t="inlineStr">
        <is>
          <t>Free</t>
        </is>
      </c>
      <c r="H1285" s="12" t="n">
        <v>1</v>
      </c>
      <c r="I1285" s="12" t="n">
        <v>1</v>
      </c>
      <c r="J1285" s="12" t="n">
        <v>1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/>
      <c r="P1285" s="12" t="n">
        <v>80.09999999999999</v>
      </c>
    </row>
    <row r="1286">
      <c r="A1286" s="12" t="inlineStr">
        <is>
          <t>USR-101285</t>
        </is>
      </c>
      <c r="B1286" s="29" t="n">
        <v>45769</v>
      </c>
      <c r="C1286" s="12" t="inlineStr">
        <is>
          <t>Treatment</t>
        </is>
      </c>
      <c r="D1286" s="12" t="inlineStr">
        <is>
          <t>North</t>
        </is>
      </c>
      <c r="E1286" s="12" t="inlineStr">
        <is>
          <t>Mobile</t>
        </is>
      </c>
      <c r="F1286" s="12" t="inlineStr">
        <is>
          <t>Social</t>
        </is>
      </c>
      <c r="G1286" s="12" t="inlineStr">
        <is>
          <t>Premium</t>
        </is>
      </c>
      <c r="H1286" s="12" t="n">
        <v>1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/>
      <c r="P1286" s="12" t="n">
        <v>69.5</v>
      </c>
    </row>
    <row r="1287">
      <c r="A1287" s="12" t="inlineStr">
        <is>
          <t>USR-101286</t>
        </is>
      </c>
      <c r="B1287" s="29" t="n">
        <v>45727</v>
      </c>
      <c r="C1287" s="12" t="inlineStr">
        <is>
          <t>Treatment</t>
        </is>
      </c>
      <c r="D1287" s="12" t="inlineStr">
        <is>
          <t>North</t>
        </is>
      </c>
      <c r="E1287" s="12" t="inlineStr">
        <is>
          <t>Desktop</t>
        </is>
      </c>
      <c r="F1287" s="12" t="inlineStr">
        <is>
          <t>Organic</t>
        </is>
      </c>
      <c r="G1287" s="12" t="inlineStr">
        <is>
          <t>Basic</t>
        </is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2</v>
      </c>
      <c r="N1287" s="12" t="n">
        <v>0</v>
      </c>
      <c r="O1287" s="12" t="n"/>
      <c r="P1287" s="12" t="n">
        <v>46.6</v>
      </c>
    </row>
    <row r="1288">
      <c r="A1288" s="12" t="inlineStr">
        <is>
          <t>USR-101287</t>
        </is>
      </c>
      <c r="B1288" s="29" t="n">
        <v>45785</v>
      </c>
      <c r="C1288" s="12" t="inlineStr">
        <is>
          <t>Treatment</t>
        </is>
      </c>
      <c r="D1288" s="12" t="inlineStr">
        <is>
          <t>South</t>
        </is>
      </c>
      <c r="E1288" s="12" t="inlineStr">
        <is>
          <t>Mobile</t>
        </is>
      </c>
      <c r="F1288" s="12" t="inlineStr">
        <is>
          <t>Organic</t>
        </is>
      </c>
      <c r="G1288" s="12" t="inlineStr">
        <is>
          <t>Premium</t>
        </is>
      </c>
      <c r="H1288" s="12" t="n">
        <v>1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1</v>
      </c>
      <c r="N1288" s="12" t="n">
        <v>0</v>
      </c>
      <c r="O1288" s="12" t="n"/>
      <c r="P1288" s="12" t="n">
        <v>54.9</v>
      </c>
    </row>
    <row r="1289">
      <c r="A1289" s="12" t="inlineStr">
        <is>
          <t>USR-101288</t>
        </is>
      </c>
      <c r="B1289" s="29" t="n">
        <v>45726</v>
      </c>
      <c r="C1289" s="12" t="inlineStr">
        <is>
          <t>Treatment</t>
        </is>
      </c>
      <c r="D1289" s="12" t="inlineStr">
        <is>
          <t>East</t>
        </is>
      </c>
      <c r="E1289" s="12" t="inlineStr">
        <is>
          <t>Desktop</t>
        </is>
      </c>
      <c r="F1289" s="12" t="inlineStr">
        <is>
          <t>Organic</t>
        </is>
      </c>
      <c r="G1289" s="12" t="inlineStr">
        <is>
          <t>Free</t>
        </is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/>
      <c r="P1289" s="12" t="n">
        <v>100</v>
      </c>
    </row>
    <row r="1290">
      <c r="A1290" s="12" t="inlineStr">
        <is>
          <t>USR-101289</t>
        </is>
      </c>
      <c r="B1290" s="29" t="n">
        <v>45763</v>
      </c>
      <c r="C1290" s="12" t="inlineStr">
        <is>
          <t>Treatment</t>
        </is>
      </c>
      <c r="D1290" s="12" t="inlineStr">
        <is>
          <t>East</t>
        </is>
      </c>
      <c r="E1290" s="12" t="inlineStr">
        <is>
          <t>Desktop</t>
        </is>
      </c>
      <c r="F1290" s="12" t="inlineStr">
        <is>
          <t>Paid Search</t>
        </is>
      </c>
      <c r="G1290" s="12" t="inlineStr">
        <is>
          <t>Free</t>
        </is>
      </c>
      <c r="H1290" s="12" t="n">
        <v>1</v>
      </c>
      <c r="I1290" s="12" t="n">
        <v>1</v>
      </c>
      <c r="J1290" s="12" t="n">
        <v>1</v>
      </c>
      <c r="K1290" s="12" t="n">
        <v>0</v>
      </c>
      <c r="L1290" s="12" t="n">
        <v>0</v>
      </c>
      <c r="M1290" s="12" t="n">
        <v>1</v>
      </c>
      <c r="N1290" s="12" t="n">
        <v>0</v>
      </c>
      <c r="O1290" s="12" t="n"/>
      <c r="P1290" s="12" t="n">
        <v>80.5</v>
      </c>
    </row>
    <row r="1291">
      <c r="A1291" s="12" t="inlineStr">
        <is>
          <t>USR-101290</t>
        </is>
      </c>
      <c r="B1291" s="29" t="n">
        <v>45717</v>
      </c>
      <c r="C1291" s="12" t="inlineStr">
        <is>
          <t>Treatment</t>
        </is>
      </c>
      <c r="D1291" s="12" t="inlineStr">
        <is>
          <t>West</t>
        </is>
      </c>
      <c r="E1291" s="12" t="inlineStr">
        <is>
          <t>Tablet</t>
        </is>
      </c>
      <c r="F1291" s="12" t="inlineStr">
        <is>
          <t>Organic</t>
        </is>
      </c>
      <c r="G1291" s="12" t="inlineStr">
        <is>
          <t>Basic</t>
        </is>
      </c>
      <c r="H1291" s="12" t="n">
        <v>1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/>
      <c r="P1291" s="12" t="n">
        <v>51.2</v>
      </c>
    </row>
    <row r="1292">
      <c r="A1292" s="12" t="inlineStr">
        <is>
          <t>USR-101291</t>
        </is>
      </c>
      <c r="B1292" s="29" t="n">
        <v>45675</v>
      </c>
      <c r="C1292" s="12" t="inlineStr">
        <is>
          <t>Treatment</t>
        </is>
      </c>
      <c r="D1292" s="12" t="inlineStr">
        <is>
          <t>South</t>
        </is>
      </c>
      <c r="E1292" s="12" t="inlineStr">
        <is>
          <t>Desktop</t>
        </is>
      </c>
      <c r="F1292" s="12" t="inlineStr">
        <is>
          <t>Organic</t>
        </is>
      </c>
      <c r="G1292" s="12" t="inlineStr">
        <is>
          <t>Premium</t>
        </is>
      </c>
      <c r="H1292" s="12" t="n">
        <v>1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/>
      <c r="P1292" s="12" t="n">
        <v>42.5</v>
      </c>
    </row>
    <row r="1293">
      <c r="A1293" s="12" t="inlineStr">
        <is>
          <t>USR-101292</t>
        </is>
      </c>
      <c r="B1293" s="29" t="n">
        <v>45746</v>
      </c>
      <c r="C1293" s="12" t="inlineStr">
        <is>
          <t>Treatment</t>
        </is>
      </c>
      <c r="D1293" s="12" t="inlineStr">
        <is>
          <t>North</t>
        </is>
      </c>
      <c r="E1293" s="12" t="inlineStr">
        <is>
          <t>Mobile</t>
        </is>
      </c>
      <c r="F1293" s="12" t="inlineStr">
        <is>
          <t>Paid Search</t>
        </is>
      </c>
      <c r="G1293" s="12" t="inlineStr">
        <is>
          <t>Free</t>
        </is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/>
      <c r="P1293" s="12" t="n">
        <v>72.5</v>
      </c>
    </row>
    <row r="1294">
      <c r="A1294" s="12" t="inlineStr">
        <is>
          <t>USR-101293</t>
        </is>
      </c>
      <c r="B1294" s="29" t="n">
        <v>45803</v>
      </c>
      <c r="C1294" s="12" t="inlineStr">
        <is>
          <t>Treatment</t>
        </is>
      </c>
      <c r="D1294" s="12" t="inlineStr">
        <is>
          <t>West</t>
        </is>
      </c>
      <c r="E1294" s="12" t="inlineStr">
        <is>
          <t>Mobile</t>
        </is>
      </c>
      <c r="F1294" s="12" t="inlineStr">
        <is>
          <t>Social</t>
        </is>
      </c>
      <c r="G1294" s="12" t="inlineStr">
        <is>
          <t>Premium</t>
        </is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/>
      <c r="P1294" s="12" t="n">
        <v>74.40000000000001</v>
      </c>
    </row>
    <row r="1295">
      <c r="A1295" s="12" t="inlineStr">
        <is>
          <t>USR-101294</t>
        </is>
      </c>
      <c r="B1295" s="29" t="n">
        <v>45735</v>
      </c>
      <c r="C1295" s="12" t="inlineStr">
        <is>
          <t>Treatment</t>
        </is>
      </c>
      <c r="D1295" s="12" t="inlineStr">
        <is>
          <t>East</t>
        </is>
      </c>
      <c r="E1295" s="12" t="inlineStr">
        <is>
          <t>Desktop</t>
        </is>
      </c>
      <c r="F1295" s="12" t="inlineStr">
        <is>
          <t>Social</t>
        </is>
      </c>
      <c r="G1295" s="12" t="inlineStr">
        <is>
          <t>Free</t>
        </is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/>
      <c r="P1295" s="12" t="n">
        <v>78.40000000000001</v>
      </c>
    </row>
    <row r="1296">
      <c r="A1296" s="12" t="inlineStr">
        <is>
          <t>USR-101295</t>
        </is>
      </c>
      <c r="B1296" s="29" t="n">
        <v>45744</v>
      </c>
      <c r="C1296" s="12" t="inlineStr">
        <is>
          <t>Treatment</t>
        </is>
      </c>
      <c r="D1296" s="12" t="inlineStr">
        <is>
          <t>North</t>
        </is>
      </c>
      <c r="E1296" s="12" t="inlineStr">
        <is>
          <t>Desktop</t>
        </is>
      </c>
      <c r="F1296" s="12" t="inlineStr">
        <is>
          <t>Referral</t>
        </is>
      </c>
      <c r="G1296" s="12" t="inlineStr">
        <is>
          <t>Free</t>
        </is>
      </c>
      <c r="H1296" s="12" t="n">
        <v>1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/>
      <c r="P1296" s="12" t="n">
        <v>71.5</v>
      </c>
    </row>
    <row r="1297">
      <c r="A1297" s="12" t="inlineStr">
        <is>
          <t>USR-101296</t>
        </is>
      </c>
      <c r="B1297" s="29" t="n">
        <v>45805</v>
      </c>
      <c r="C1297" s="12" t="inlineStr">
        <is>
          <t>Treatment</t>
        </is>
      </c>
      <c r="D1297" s="12" t="inlineStr">
        <is>
          <t>South</t>
        </is>
      </c>
      <c r="E1297" s="12" t="inlineStr">
        <is>
          <t>Desktop</t>
        </is>
      </c>
      <c r="F1297" s="12" t="inlineStr">
        <is>
          <t>Social</t>
        </is>
      </c>
      <c r="G1297" s="12" t="inlineStr">
        <is>
          <t>Free</t>
        </is>
      </c>
      <c r="H1297" s="12" t="n">
        <v>1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/>
      <c r="P1297" s="12" t="n">
        <v>66.7</v>
      </c>
    </row>
    <row r="1298">
      <c r="A1298" s="12" t="inlineStr">
        <is>
          <t>USR-101297</t>
        </is>
      </c>
      <c r="B1298" s="29" t="n">
        <v>45808</v>
      </c>
      <c r="C1298" s="12" t="inlineStr">
        <is>
          <t>Treatment</t>
        </is>
      </c>
      <c r="D1298" s="12" t="inlineStr">
        <is>
          <t>South</t>
        </is>
      </c>
      <c r="E1298" s="12" t="inlineStr">
        <is>
          <t>Desktop</t>
        </is>
      </c>
      <c r="F1298" s="12" t="inlineStr">
        <is>
          <t>Referral</t>
        </is>
      </c>
      <c r="G1298" s="12" t="inlineStr">
        <is>
          <t>Premium</t>
        </is>
      </c>
      <c r="H1298" s="12" t="n">
        <v>1</v>
      </c>
      <c r="I1298" s="12" t="n">
        <v>1</v>
      </c>
      <c r="J1298" s="12" t="n">
        <v>1</v>
      </c>
      <c r="K1298" s="12" t="n">
        <v>1</v>
      </c>
      <c r="L1298" s="12" t="n">
        <v>1496.09</v>
      </c>
      <c r="M1298" s="12" t="n">
        <v>0</v>
      </c>
      <c r="N1298" s="12" t="n">
        <v>0</v>
      </c>
      <c r="O1298" s="12" t="n">
        <v>7</v>
      </c>
      <c r="P1298" s="12" t="n">
        <v>60.4</v>
      </c>
    </row>
    <row r="1299">
      <c r="A1299" s="12" t="inlineStr">
        <is>
          <t>USR-101298</t>
        </is>
      </c>
      <c r="B1299" s="29" t="n">
        <v>45787</v>
      </c>
      <c r="C1299" s="12" t="inlineStr">
        <is>
          <t>Treatment</t>
        </is>
      </c>
      <c r="D1299" s="12" t="inlineStr">
        <is>
          <t>North</t>
        </is>
      </c>
      <c r="E1299" s="12" t="inlineStr">
        <is>
          <t>Mobile</t>
        </is>
      </c>
      <c r="F1299" s="12" t="inlineStr">
        <is>
          <t>Referral</t>
        </is>
      </c>
      <c r="G1299" s="12" t="inlineStr">
        <is>
          <t>Free</t>
        </is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1</v>
      </c>
      <c r="N1299" s="12" t="n">
        <v>0</v>
      </c>
      <c r="O1299" s="12" t="n"/>
      <c r="P1299" s="12" t="n">
        <v>72.90000000000001</v>
      </c>
    </row>
    <row r="1300">
      <c r="A1300" s="12" t="inlineStr">
        <is>
          <t>USR-101299</t>
        </is>
      </c>
      <c r="B1300" s="29" t="n">
        <v>45794</v>
      </c>
      <c r="C1300" s="12" t="inlineStr">
        <is>
          <t>Treatment</t>
        </is>
      </c>
      <c r="D1300" s="12" t="inlineStr">
        <is>
          <t>West</t>
        </is>
      </c>
      <c r="E1300" s="12" t="inlineStr">
        <is>
          <t>Mobile</t>
        </is>
      </c>
      <c r="F1300" s="12" t="inlineStr">
        <is>
          <t>Organic</t>
        </is>
      </c>
      <c r="G1300" s="12" t="inlineStr">
        <is>
          <t>Free</t>
        </is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3</v>
      </c>
      <c r="N1300" s="12" t="n">
        <v>0</v>
      </c>
      <c r="O1300" s="12" t="n"/>
      <c r="P1300" s="12" t="n"/>
    </row>
    <row r="1301">
      <c r="A1301" s="12" t="inlineStr">
        <is>
          <t>USR-101300</t>
        </is>
      </c>
      <c r="B1301" s="29" t="n">
        <v>45675</v>
      </c>
      <c r="C1301" s="12" t="inlineStr">
        <is>
          <t>Treatment</t>
        </is>
      </c>
      <c r="D1301" s="12" t="inlineStr">
        <is>
          <t>South</t>
        </is>
      </c>
      <c r="E1301" s="12" t="inlineStr">
        <is>
          <t>Mobile</t>
        </is>
      </c>
      <c r="F1301" s="12" t="inlineStr">
        <is>
          <t>Organic</t>
        </is>
      </c>
      <c r="G1301" s="12" t="inlineStr">
        <is>
          <t>Premium</t>
        </is>
      </c>
      <c r="H1301" s="12" t="n">
        <v>1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/>
      <c r="P1301" s="12" t="n">
        <v>55.2</v>
      </c>
    </row>
    <row r="1302">
      <c r="A1302" s="12" t="inlineStr">
        <is>
          <t>USR-101301</t>
        </is>
      </c>
      <c r="B1302" s="29" t="n">
        <v>45781</v>
      </c>
      <c r="C1302" s="12" t="inlineStr">
        <is>
          <t>Treatment</t>
        </is>
      </c>
      <c r="D1302" s="12" t="inlineStr">
        <is>
          <t>West</t>
        </is>
      </c>
      <c r="E1302" s="12" t="inlineStr">
        <is>
          <t>Mobile</t>
        </is>
      </c>
      <c r="F1302" s="12" t="inlineStr">
        <is>
          <t>Social</t>
        </is>
      </c>
      <c r="G1302" s="12" t="inlineStr">
        <is>
          <t>Free</t>
        </is>
      </c>
      <c r="H1302" s="12" t="n">
        <v>1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/>
      <c r="P1302" s="12" t="n">
        <v>67.8</v>
      </c>
    </row>
    <row r="1303">
      <c r="A1303" s="12" t="inlineStr">
        <is>
          <t>USR-101302</t>
        </is>
      </c>
      <c r="B1303" s="29" t="n">
        <v>45741</v>
      </c>
      <c r="C1303" s="12" t="inlineStr">
        <is>
          <t>Treatment</t>
        </is>
      </c>
      <c r="D1303" s="12" t="inlineStr">
        <is>
          <t>North</t>
        </is>
      </c>
      <c r="E1303" s="12" t="inlineStr">
        <is>
          <t>Mobile</t>
        </is>
      </c>
      <c r="F1303" s="12" t="inlineStr">
        <is>
          <t>Organic</t>
        </is>
      </c>
      <c r="G1303" s="12" t="inlineStr">
        <is>
          <t>Free</t>
        </is>
      </c>
      <c r="H1303" s="12" t="n">
        <v>1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2</v>
      </c>
      <c r="N1303" s="12" t="n">
        <v>0</v>
      </c>
      <c r="O1303" s="12" t="n"/>
      <c r="P1303" s="12" t="n">
        <v>70</v>
      </c>
    </row>
    <row r="1304">
      <c r="A1304" s="12" t="inlineStr">
        <is>
          <t>USR-101303</t>
        </is>
      </c>
      <c r="B1304" s="29" t="n">
        <v>45715</v>
      </c>
      <c r="C1304" s="12" t="inlineStr">
        <is>
          <t>Treatment</t>
        </is>
      </c>
      <c r="D1304" s="12" t="inlineStr">
        <is>
          <t>North</t>
        </is>
      </c>
      <c r="E1304" s="12" t="inlineStr">
        <is>
          <t>Mobile</t>
        </is>
      </c>
      <c r="F1304" s="12" t="inlineStr">
        <is>
          <t>Social</t>
        </is>
      </c>
      <c r="G1304" s="12" t="inlineStr">
        <is>
          <t>Basic</t>
        </is>
      </c>
      <c r="H1304" s="12" t="n">
        <v>1</v>
      </c>
      <c r="I1304" s="12" t="n">
        <v>1</v>
      </c>
      <c r="J1304" s="12" t="n">
        <v>1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/>
      <c r="P1304" s="12" t="n">
        <v>51.1</v>
      </c>
    </row>
    <row r="1305">
      <c r="A1305" s="12" t="inlineStr">
        <is>
          <t>USR-101304</t>
        </is>
      </c>
      <c r="B1305" s="29" t="n">
        <v>45671</v>
      </c>
      <c r="C1305" s="12" t="inlineStr">
        <is>
          <t>Treatment</t>
        </is>
      </c>
      <c r="D1305" s="12" t="inlineStr">
        <is>
          <t>West</t>
        </is>
      </c>
      <c r="E1305" s="12" t="inlineStr">
        <is>
          <t>Mobile</t>
        </is>
      </c>
      <c r="F1305" s="12" t="inlineStr">
        <is>
          <t>Paid Search</t>
        </is>
      </c>
      <c r="G1305" s="12" t="inlineStr">
        <is>
          <t>Basic</t>
        </is>
      </c>
      <c r="H1305" s="12" t="n">
        <v>1</v>
      </c>
      <c r="I1305" s="12" t="n">
        <v>1</v>
      </c>
      <c r="J1305" s="12" t="n">
        <v>1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/>
      <c r="P1305" s="12" t="n">
        <v>57</v>
      </c>
    </row>
    <row r="1306">
      <c r="A1306" s="12" t="inlineStr">
        <is>
          <t>USR-101305</t>
        </is>
      </c>
      <c r="B1306" s="29" t="n">
        <v>45758</v>
      </c>
      <c r="C1306" s="12" t="inlineStr">
        <is>
          <t>Treatment</t>
        </is>
      </c>
      <c r="D1306" s="12" t="inlineStr">
        <is>
          <t>East</t>
        </is>
      </c>
      <c r="E1306" s="12" t="inlineStr">
        <is>
          <t>Mobile</t>
        </is>
      </c>
      <c r="F1306" s="12" t="inlineStr">
        <is>
          <t>Social</t>
        </is>
      </c>
      <c r="G1306" s="12" t="inlineStr">
        <is>
          <t>Free</t>
        </is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1</v>
      </c>
      <c r="N1306" s="12" t="n">
        <v>0</v>
      </c>
      <c r="O1306" s="12" t="n"/>
      <c r="P1306" s="12" t="n">
        <v>47.1</v>
      </c>
    </row>
    <row r="1307">
      <c r="A1307" s="12" t="inlineStr">
        <is>
          <t>USR-101306</t>
        </is>
      </c>
      <c r="B1307" s="29" t="n">
        <v>45742</v>
      </c>
      <c r="C1307" s="12" t="inlineStr">
        <is>
          <t>Treatment</t>
        </is>
      </c>
      <c r="D1307" s="12" t="inlineStr">
        <is>
          <t>East</t>
        </is>
      </c>
      <c r="E1307" s="12" t="inlineStr">
        <is>
          <t>Desktop</t>
        </is>
      </c>
      <c r="F1307" s="12" t="inlineStr">
        <is>
          <t>Social</t>
        </is>
      </c>
      <c r="G1307" s="12" t="inlineStr">
        <is>
          <t>Basic</t>
        </is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/>
      <c r="P1307" s="12" t="n">
        <v>30.7</v>
      </c>
    </row>
    <row r="1308">
      <c r="A1308" s="12" t="inlineStr">
        <is>
          <t>USR-101307</t>
        </is>
      </c>
      <c r="B1308" s="29" t="n">
        <v>45700</v>
      </c>
      <c r="C1308" s="12" t="inlineStr">
        <is>
          <t>Treatment</t>
        </is>
      </c>
      <c r="D1308" s="12" t="inlineStr">
        <is>
          <t>West</t>
        </is>
      </c>
      <c r="E1308" s="12" t="inlineStr">
        <is>
          <t>Desktop</t>
        </is>
      </c>
      <c r="F1308" s="12" t="inlineStr">
        <is>
          <t>Social</t>
        </is>
      </c>
      <c r="G1308" s="12" t="inlineStr">
        <is>
          <t>Free</t>
        </is>
      </c>
      <c r="H1308" s="12" t="n">
        <v>1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/>
      <c r="P1308" s="12" t="n">
        <v>57.3</v>
      </c>
    </row>
    <row r="1309">
      <c r="A1309" s="12" t="inlineStr">
        <is>
          <t>USR-101308</t>
        </is>
      </c>
      <c r="B1309" s="29" t="n">
        <v>45706</v>
      </c>
      <c r="C1309" s="12" t="inlineStr">
        <is>
          <t>Treatment</t>
        </is>
      </c>
      <c r="D1309" s="12" t="inlineStr">
        <is>
          <t>West</t>
        </is>
      </c>
      <c r="E1309" s="12" t="inlineStr">
        <is>
          <t>Tablet</t>
        </is>
      </c>
      <c r="F1309" s="12" t="inlineStr">
        <is>
          <t>Paid Search</t>
        </is>
      </c>
      <c r="G1309" s="12" t="inlineStr">
        <is>
          <t>Basic</t>
        </is>
      </c>
      <c r="H1309" s="12" t="n">
        <v>1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/>
      <c r="P1309" s="12" t="n">
        <v>70</v>
      </c>
    </row>
    <row r="1310">
      <c r="A1310" s="12" t="inlineStr">
        <is>
          <t>USR-101309</t>
        </is>
      </c>
      <c r="B1310" s="29" t="n">
        <v>45802</v>
      </c>
      <c r="C1310" s="12" t="inlineStr">
        <is>
          <t>Treatment</t>
        </is>
      </c>
      <c r="D1310" s="12" t="inlineStr">
        <is>
          <t>East</t>
        </is>
      </c>
      <c r="E1310" s="12" t="inlineStr">
        <is>
          <t>Desktop</t>
        </is>
      </c>
      <c r="F1310" s="12" t="inlineStr">
        <is>
          <t>Social</t>
        </is>
      </c>
      <c r="G1310" s="12" t="inlineStr">
        <is>
          <t>Free</t>
        </is>
      </c>
      <c r="H1310" s="12" t="n">
        <v>1</v>
      </c>
      <c r="I1310" s="12" t="n">
        <v>1</v>
      </c>
      <c r="J1310" s="12" t="n">
        <v>1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/>
      <c r="P1310" s="12" t="n">
        <v>59.7</v>
      </c>
    </row>
    <row r="1311">
      <c r="A1311" s="12" t="inlineStr">
        <is>
          <t>USR-101310</t>
        </is>
      </c>
      <c r="B1311" s="29" t="n">
        <v>45800</v>
      </c>
      <c r="C1311" s="12" t="inlineStr">
        <is>
          <t>Treatment</t>
        </is>
      </c>
      <c r="D1311" s="12" t="inlineStr">
        <is>
          <t>East</t>
        </is>
      </c>
      <c r="E1311" s="12" t="inlineStr">
        <is>
          <t>Desktop</t>
        </is>
      </c>
      <c r="F1311" s="12" t="inlineStr">
        <is>
          <t>Paid Search</t>
        </is>
      </c>
      <c r="G1311" s="12" t="inlineStr">
        <is>
          <t>Basic</t>
        </is>
      </c>
      <c r="H1311" s="12" t="n">
        <v>1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/>
      <c r="P1311" s="12" t="n">
        <v>68.8</v>
      </c>
    </row>
    <row r="1312">
      <c r="A1312" s="12" t="inlineStr">
        <is>
          <t>USR-101311</t>
        </is>
      </c>
      <c r="B1312" s="29" t="n">
        <v>45673</v>
      </c>
      <c r="C1312" s="12" t="inlineStr">
        <is>
          <t>Treatment</t>
        </is>
      </c>
      <c r="D1312" s="12" t="inlineStr">
        <is>
          <t>North</t>
        </is>
      </c>
      <c r="E1312" s="12" t="inlineStr">
        <is>
          <t>Desktop</t>
        </is>
      </c>
      <c r="F1312" s="12" t="inlineStr">
        <is>
          <t>Organic</t>
        </is>
      </c>
      <c r="G1312" s="12" t="inlineStr">
        <is>
          <t>Free</t>
        </is>
      </c>
      <c r="H1312" s="12" t="n">
        <v>1</v>
      </c>
      <c r="I1312" s="12" t="n">
        <v>1</v>
      </c>
      <c r="J1312" s="12" t="n">
        <v>1</v>
      </c>
      <c r="K1312" s="12" t="n">
        <v>1</v>
      </c>
      <c r="L1312" s="12" t="n">
        <v>428.37</v>
      </c>
      <c r="M1312" s="12" t="n">
        <v>0</v>
      </c>
      <c r="N1312" s="12" t="n">
        <v>0</v>
      </c>
      <c r="O1312" s="12" t="n">
        <v>9</v>
      </c>
      <c r="P1312" s="12" t="n">
        <v>88.3</v>
      </c>
    </row>
    <row r="1313">
      <c r="A1313" s="12" t="inlineStr">
        <is>
          <t>USR-101312</t>
        </is>
      </c>
      <c r="B1313" s="29" t="n">
        <v>45676</v>
      </c>
      <c r="C1313" s="12" t="inlineStr">
        <is>
          <t>Treatment</t>
        </is>
      </c>
      <c r="D1313" s="12" t="inlineStr">
        <is>
          <t>West</t>
        </is>
      </c>
      <c r="E1313" s="12" t="inlineStr">
        <is>
          <t>Desktop</t>
        </is>
      </c>
      <c r="F1313" s="12" t="inlineStr">
        <is>
          <t>Email</t>
        </is>
      </c>
      <c r="G1313" s="12" t="inlineStr">
        <is>
          <t>Basic</t>
        </is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/>
      <c r="P1313" s="12" t="n">
        <v>83.40000000000001</v>
      </c>
    </row>
    <row r="1314">
      <c r="A1314" s="12" t="inlineStr">
        <is>
          <t>USR-101313</t>
        </is>
      </c>
      <c r="B1314" s="29" t="n">
        <v>45795</v>
      </c>
      <c r="C1314" s="12" t="inlineStr">
        <is>
          <t>Treatment</t>
        </is>
      </c>
      <c r="D1314" s="12" t="inlineStr">
        <is>
          <t>South</t>
        </is>
      </c>
      <c r="E1314" s="12" t="inlineStr">
        <is>
          <t>Mobile</t>
        </is>
      </c>
      <c r="F1314" s="12" t="inlineStr">
        <is>
          <t>Referral</t>
        </is>
      </c>
      <c r="G1314" s="12" t="inlineStr">
        <is>
          <t>Free</t>
        </is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1</v>
      </c>
      <c r="N1314" s="12" t="n">
        <v>0</v>
      </c>
      <c r="O1314" s="12" t="n"/>
      <c r="P1314" s="12" t="n">
        <v>81.59999999999999</v>
      </c>
    </row>
    <row r="1315">
      <c r="A1315" s="12" t="inlineStr">
        <is>
          <t>USR-101314</t>
        </is>
      </c>
      <c r="B1315" s="29" t="n">
        <v>45680</v>
      </c>
      <c r="C1315" s="12" t="inlineStr">
        <is>
          <t>Treatment</t>
        </is>
      </c>
      <c r="D1315" s="12" t="inlineStr">
        <is>
          <t>East</t>
        </is>
      </c>
      <c r="E1315" s="12" t="inlineStr">
        <is>
          <t>Tablet</t>
        </is>
      </c>
      <c r="F1315" s="12" t="inlineStr">
        <is>
          <t>Social</t>
        </is>
      </c>
      <c r="G1315" s="12" t="inlineStr">
        <is>
          <t>Premium</t>
        </is>
      </c>
      <c r="H1315" s="12" t="n">
        <v>1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/>
      <c r="P1315" s="12" t="n">
        <v>91.59999999999999</v>
      </c>
    </row>
    <row r="1316">
      <c r="A1316" s="12" t="inlineStr">
        <is>
          <t>USR-101315</t>
        </is>
      </c>
      <c r="B1316" s="29" t="n">
        <v>45665</v>
      </c>
      <c r="C1316" s="12" t="inlineStr">
        <is>
          <t>Treatment</t>
        </is>
      </c>
      <c r="D1316" s="12" t="inlineStr">
        <is>
          <t>East</t>
        </is>
      </c>
      <c r="E1316" s="12" t="inlineStr">
        <is>
          <t>Tablet</t>
        </is>
      </c>
      <c r="F1316" s="12" t="n"/>
      <c r="G1316" s="12" t="inlineStr">
        <is>
          <t>Premium</t>
        </is>
      </c>
      <c r="H1316" s="12" t="n">
        <v>1</v>
      </c>
      <c r="I1316" s="12" t="n">
        <v>1</v>
      </c>
      <c r="J1316" s="12" t="n">
        <v>1</v>
      </c>
      <c r="K1316" s="12" t="n">
        <v>0</v>
      </c>
      <c r="L1316" s="12" t="n">
        <v>0</v>
      </c>
      <c r="M1316" s="12" t="n">
        <v>1</v>
      </c>
      <c r="N1316" s="12" t="n">
        <v>0</v>
      </c>
      <c r="O1316" s="12" t="n"/>
      <c r="P1316" s="12" t="n">
        <v>61.5</v>
      </c>
    </row>
    <row r="1317">
      <c r="A1317" s="12" t="inlineStr">
        <is>
          <t>USR-101316</t>
        </is>
      </c>
      <c r="B1317" s="29" t="n">
        <v>45707</v>
      </c>
      <c r="C1317" s="12" t="inlineStr">
        <is>
          <t>Treatment</t>
        </is>
      </c>
      <c r="D1317" s="12" t="inlineStr">
        <is>
          <t>North</t>
        </is>
      </c>
      <c r="E1317" s="12" t="inlineStr">
        <is>
          <t>Mobile</t>
        </is>
      </c>
      <c r="F1317" s="12" t="inlineStr">
        <is>
          <t>Organic</t>
        </is>
      </c>
      <c r="G1317" s="12" t="inlineStr">
        <is>
          <t>Premium</t>
        </is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/>
      <c r="P1317" s="12" t="n"/>
    </row>
    <row r="1318">
      <c r="A1318" s="12" t="inlineStr">
        <is>
          <t>USR-101317</t>
        </is>
      </c>
      <c r="B1318" s="29" t="n">
        <v>45698</v>
      </c>
      <c r="C1318" s="12" t="inlineStr">
        <is>
          <t>Treatment</t>
        </is>
      </c>
      <c r="D1318" s="12" t="inlineStr">
        <is>
          <t>South</t>
        </is>
      </c>
      <c r="E1318" s="12" t="inlineStr">
        <is>
          <t>Mobile</t>
        </is>
      </c>
      <c r="F1318" s="12" t="inlineStr">
        <is>
          <t>Organic</t>
        </is>
      </c>
      <c r="G1318" s="12" t="inlineStr">
        <is>
          <t>Free</t>
        </is>
      </c>
      <c r="H1318" s="12" t="n">
        <v>1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/>
      <c r="P1318" s="12" t="n">
        <v>32.6</v>
      </c>
    </row>
    <row r="1319">
      <c r="A1319" s="12" t="inlineStr">
        <is>
          <t>USR-101318</t>
        </is>
      </c>
      <c r="B1319" s="29" t="n">
        <v>45760</v>
      </c>
      <c r="C1319" s="12" t="inlineStr">
        <is>
          <t>Treatment</t>
        </is>
      </c>
      <c r="D1319" s="12" t="inlineStr">
        <is>
          <t>South</t>
        </is>
      </c>
      <c r="E1319" s="12" t="inlineStr">
        <is>
          <t>Mobile</t>
        </is>
      </c>
      <c r="F1319" s="12" t="inlineStr">
        <is>
          <t>Paid Search</t>
        </is>
      </c>
      <c r="G1319" s="12" t="inlineStr">
        <is>
          <t>Free</t>
        </is>
      </c>
      <c r="H1319" s="12" t="n">
        <v>1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/>
      <c r="P1319" s="12" t="n">
        <v>73.90000000000001</v>
      </c>
    </row>
    <row r="1320">
      <c r="A1320" s="12" t="inlineStr">
        <is>
          <t>USR-101319</t>
        </is>
      </c>
      <c r="B1320" s="29" t="n">
        <v>45797</v>
      </c>
      <c r="C1320" s="12" t="inlineStr">
        <is>
          <t>Treatment</t>
        </is>
      </c>
      <c r="D1320" s="12" t="inlineStr">
        <is>
          <t>East</t>
        </is>
      </c>
      <c r="E1320" s="12" t="inlineStr">
        <is>
          <t>Mobile</t>
        </is>
      </c>
      <c r="F1320" s="12" t="inlineStr">
        <is>
          <t>Organic</t>
        </is>
      </c>
      <c r="G1320" s="12" t="inlineStr">
        <is>
          <t>Free</t>
        </is>
      </c>
      <c r="H1320" s="12" t="n">
        <v>1</v>
      </c>
      <c r="I1320" s="12" t="n">
        <v>1</v>
      </c>
      <c r="J1320" s="12" t="n">
        <v>1</v>
      </c>
      <c r="K1320" s="12" t="n">
        <v>1</v>
      </c>
      <c r="L1320" s="12" t="n">
        <v>444.06</v>
      </c>
      <c r="M1320" s="12" t="n">
        <v>0</v>
      </c>
      <c r="N1320" s="12" t="n">
        <v>0</v>
      </c>
      <c r="O1320" s="12" t="n">
        <v>9</v>
      </c>
      <c r="P1320" s="12" t="n">
        <v>99.90000000000001</v>
      </c>
    </row>
    <row r="1321">
      <c r="A1321" s="12" t="inlineStr">
        <is>
          <t>USR-101320</t>
        </is>
      </c>
      <c r="B1321" s="29" t="n">
        <v>45790</v>
      </c>
      <c r="C1321" s="12" t="inlineStr">
        <is>
          <t>Treatment</t>
        </is>
      </c>
      <c r="D1321" s="12" t="inlineStr">
        <is>
          <t>South</t>
        </is>
      </c>
      <c r="E1321" s="12" t="inlineStr">
        <is>
          <t>Mobile</t>
        </is>
      </c>
      <c r="F1321" s="12" t="inlineStr">
        <is>
          <t>Paid Search</t>
        </is>
      </c>
      <c r="G1321" s="12" t="inlineStr">
        <is>
          <t>Basic</t>
        </is>
      </c>
      <c r="H1321" s="12" t="n">
        <v>1</v>
      </c>
      <c r="I1321" s="12" t="n">
        <v>1</v>
      </c>
      <c r="J1321" s="12" t="n">
        <v>0</v>
      </c>
      <c r="K1321" s="12" t="n">
        <v>0</v>
      </c>
      <c r="L1321" s="12" t="n">
        <v>0</v>
      </c>
      <c r="M1321" s="12" t="n">
        <v>1</v>
      </c>
      <c r="N1321" s="12" t="n">
        <v>0</v>
      </c>
      <c r="O1321" s="12" t="n"/>
      <c r="P1321" s="12" t="n">
        <v>62.4</v>
      </c>
    </row>
    <row r="1322">
      <c r="A1322" s="12" t="inlineStr">
        <is>
          <t>USR-101321</t>
        </is>
      </c>
      <c r="B1322" s="29" t="n">
        <v>45805</v>
      </c>
      <c r="C1322" s="12" t="inlineStr">
        <is>
          <t>Treatment</t>
        </is>
      </c>
      <c r="D1322" s="12" t="inlineStr">
        <is>
          <t>South</t>
        </is>
      </c>
      <c r="E1322" s="12" t="inlineStr">
        <is>
          <t>Desktop</t>
        </is>
      </c>
      <c r="F1322" s="12" t="inlineStr">
        <is>
          <t>Paid Search</t>
        </is>
      </c>
      <c r="G1322" s="12" t="inlineStr">
        <is>
          <t>Basic</t>
        </is>
      </c>
      <c r="H1322" s="12" t="n">
        <v>1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/>
      <c r="P1322" s="12" t="n">
        <v>46.1</v>
      </c>
    </row>
    <row r="1323">
      <c r="A1323" s="12" t="inlineStr">
        <is>
          <t>USR-101322</t>
        </is>
      </c>
      <c r="B1323" s="29" t="n">
        <v>45735</v>
      </c>
      <c r="C1323" s="12" t="inlineStr">
        <is>
          <t>Treatment</t>
        </is>
      </c>
      <c r="D1323" s="12" t="inlineStr">
        <is>
          <t>West</t>
        </is>
      </c>
      <c r="E1323" s="12" t="inlineStr">
        <is>
          <t>Mobile</t>
        </is>
      </c>
      <c r="F1323" s="12" t="inlineStr">
        <is>
          <t>Organic</t>
        </is>
      </c>
      <c r="G1323" s="12" t="inlineStr">
        <is>
          <t>Free</t>
        </is>
      </c>
      <c r="H1323" s="12" t="n">
        <v>1</v>
      </c>
      <c r="I1323" s="12" t="n">
        <v>1</v>
      </c>
      <c r="J1323" s="12" t="n">
        <v>1</v>
      </c>
      <c r="K1323" s="12" t="n">
        <v>1</v>
      </c>
      <c r="L1323" s="12" t="n">
        <v>2660.21</v>
      </c>
      <c r="M1323" s="12" t="n">
        <v>0</v>
      </c>
      <c r="N1323" s="12" t="n">
        <v>0</v>
      </c>
      <c r="O1323" s="12" t="n">
        <v>3</v>
      </c>
      <c r="P1323" s="12" t="n">
        <v>73.90000000000001</v>
      </c>
    </row>
    <row r="1324">
      <c r="A1324" s="12" t="inlineStr">
        <is>
          <t>USR-101323</t>
        </is>
      </c>
      <c r="B1324" s="29" t="n">
        <v>45691</v>
      </c>
      <c r="C1324" s="12" t="inlineStr">
        <is>
          <t>Treatment</t>
        </is>
      </c>
      <c r="D1324" s="12" t="inlineStr">
        <is>
          <t>North</t>
        </is>
      </c>
      <c r="E1324" s="12" t="inlineStr">
        <is>
          <t>Mobile</t>
        </is>
      </c>
      <c r="F1324" s="12" t="inlineStr">
        <is>
          <t>Email</t>
        </is>
      </c>
      <c r="G1324" s="12" t="inlineStr">
        <is>
          <t>Premium</t>
        </is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/>
      <c r="P1324" s="12" t="n">
        <v>90</v>
      </c>
    </row>
    <row r="1325">
      <c r="A1325" s="12" t="inlineStr">
        <is>
          <t>USR-101324</t>
        </is>
      </c>
      <c r="B1325" s="29" t="n">
        <v>45714</v>
      </c>
      <c r="C1325" s="12" t="inlineStr">
        <is>
          <t>Treatment</t>
        </is>
      </c>
      <c r="D1325" s="12" t="inlineStr">
        <is>
          <t>South</t>
        </is>
      </c>
      <c r="E1325" s="12" t="inlineStr">
        <is>
          <t>Mobile</t>
        </is>
      </c>
      <c r="F1325" s="12" t="inlineStr">
        <is>
          <t>Email</t>
        </is>
      </c>
      <c r="G1325" s="12" t="inlineStr">
        <is>
          <t>Basic</t>
        </is>
      </c>
      <c r="H1325" s="12" t="n">
        <v>1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1</v>
      </c>
      <c r="N1325" s="12" t="n">
        <v>0</v>
      </c>
      <c r="O1325" s="12" t="n"/>
      <c r="P1325" s="12" t="n">
        <v>68.8</v>
      </c>
    </row>
    <row r="1326">
      <c r="A1326" s="12" t="inlineStr">
        <is>
          <t>USR-101325</t>
        </is>
      </c>
      <c r="B1326" s="29" t="n">
        <v>45683</v>
      </c>
      <c r="C1326" s="12" t="inlineStr">
        <is>
          <t>Treatment</t>
        </is>
      </c>
      <c r="D1326" s="12" t="inlineStr">
        <is>
          <t>West</t>
        </is>
      </c>
      <c r="E1326" s="12" t="inlineStr">
        <is>
          <t>Mobile</t>
        </is>
      </c>
      <c r="F1326" s="12" t="inlineStr">
        <is>
          <t>Paid Search</t>
        </is>
      </c>
      <c r="G1326" s="12" t="inlineStr">
        <is>
          <t>Free</t>
        </is>
      </c>
      <c r="H1326" s="12" t="n">
        <v>1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/>
      <c r="P1326" s="12" t="n">
        <v>66.59999999999999</v>
      </c>
    </row>
    <row r="1327">
      <c r="A1327" s="12" t="inlineStr">
        <is>
          <t>USR-101326</t>
        </is>
      </c>
      <c r="B1327" s="29" t="n">
        <v>45790</v>
      </c>
      <c r="C1327" s="12" t="inlineStr">
        <is>
          <t>Treatment</t>
        </is>
      </c>
      <c r="D1327" s="12" t="inlineStr">
        <is>
          <t>North</t>
        </is>
      </c>
      <c r="E1327" s="12" t="inlineStr">
        <is>
          <t>Mobile</t>
        </is>
      </c>
      <c r="F1327" s="12" t="inlineStr">
        <is>
          <t>Organic</t>
        </is>
      </c>
      <c r="G1327" s="12" t="inlineStr">
        <is>
          <t>Premium</t>
        </is>
      </c>
      <c r="H1327" s="12" t="n">
        <v>1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/>
      <c r="P1327" s="12" t="n">
        <v>49.7</v>
      </c>
    </row>
    <row r="1328">
      <c r="A1328" s="12" t="inlineStr">
        <is>
          <t>USR-101327</t>
        </is>
      </c>
      <c r="B1328" s="29" t="n">
        <v>45690</v>
      </c>
      <c r="C1328" s="12" t="inlineStr">
        <is>
          <t>Treatment</t>
        </is>
      </c>
      <c r="D1328" s="12" t="inlineStr">
        <is>
          <t>South</t>
        </is>
      </c>
      <c r="E1328" s="12" t="inlineStr">
        <is>
          <t>Mobile</t>
        </is>
      </c>
      <c r="F1328" s="12" t="inlineStr">
        <is>
          <t>Paid Search</t>
        </is>
      </c>
      <c r="G1328" s="12" t="inlineStr">
        <is>
          <t>Basic</t>
        </is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/>
      <c r="P1328" s="12" t="n">
        <v>67.90000000000001</v>
      </c>
    </row>
    <row r="1329">
      <c r="A1329" s="12" t="inlineStr">
        <is>
          <t>USR-101328</t>
        </is>
      </c>
      <c r="B1329" s="29" t="n">
        <v>45777</v>
      </c>
      <c r="C1329" s="12" t="inlineStr">
        <is>
          <t>Treatment</t>
        </is>
      </c>
      <c r="D1329" s="12" t="inlineStr">
        <is>
          <t>West</t>
        </is>
      </c>
      <c r="E1329" s="12" t="inlineStr">
        <is>
          <t>Mobile</t>
        </is>
      </c>
      <c r="F1329" s="12" t="n"/>
      <c r="G1329" s="12" t="inlineStr">
        <is>
          <t>Basic</t>
        </is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/>
      <c r="P1329" s="12" t="n">
        <v>66.90000000000001</v>
      </c>
    </row>
    <row r="1330">
      <c r="A1330" s="12" t="inlineStr">
        <is>
          <t>USR-101329</t>
        </is>
      </c>
      <c r="B1330" s="29" t="n">
        <v>45745</v>
      </c>
      <c r="C1330" s="12" t="inlineStr">
        <is>
          <t>Treatment</t>
        </is>
      </c>
      <c r="D1330" s="12" t="inlineStr">
        <is>
          <t>East</t>
        </is>
      </c>
      <c r="E1330" s="12" t="inlineStr">
        <is>
          <t>Mobile</t>
        </is>
      </c>
      <c r="F1330" s="12" t="inlineStr">
        <is>
          <t>Organic</t>
        </is>
      </c>
      <c r="G1330" s="12" t="inlineStr">
        <is>
          <t>Free</t>
        </is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/>
      <c r="P1330" s="12" t="n">
        <v>46.1</v>
      </c>
    </row>
    <row r="1331">
      <c r="A1331" s="12" t="inlineStr">
        <is>
          <t>USR-101330</t>
        </is>
      </c>
      <c r="B1331" s="29" t="n">
        <v>45756</v>
      </c>
      <c r="C1331" s="12" t="inlineStr">
        <is>
          <t>Treatment</t>
        </is>
      </c>
      <c r="D1331" s="12" t="inlineStr">
        <is>
          <t>West</t>
        </is>
      </c>
      <c r="E1331" s="12" t="inlineStr">
        <is>
          <t>Desktop</t>
        </is>
      </c>
      <c r="F1331" s="12" t="inlineStr">
        <is>
          <t>Referral</t>
        </is>
      </c>
      <c r="G1331" s="12" t="inlineStr">
        <is>
          <t>Premium</t>
        </is>
      </c>
      <c r="H1331" s="12" t="n">
        <v>1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/>
      <c r="P1331" s="12" t="n">
        <v>85.59999999999999</v>
      </c>
    </row>
    <row r="1332">
      <c r="A1332" s="12" t="inlineStr">
        <is>
          <t>USR-101331</t>
        </is>
      </c>
      <c r="B1332" s="29" t="n">
        <v>45679</v>
      </c>
      <c r="C1332" s="12" t="inlineStr">
        <is>
          <t>Treatment</t>
        </is>
      </c>
      <c r="D1332" s="12" t="inlineStr">
        <is>
          <t>South</t>
        </is>
      </c>
      <c r="E1332" s="12" t="inlineStr">
        <is>
          <t>Tablet</t>
        </is>
      </c>
      <c r="F1332" s="12" t="inlineStr">
        <is>
          <t>Organic</t>
        </is>
      </c>
      <c r="G1332" s="12" t="inlineStr">
        <is>
          <t>Free</t>
        </is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/>
      <c r="P1332" s="12" t="n">
        <v>39.6</v>
      </c>
    </row>
    <row r="1333">
      <c r="A1333" s="12" t="inlineStr">
        <is>
          <t>USR-101332</t>
        </is>
      </c>
      <c r="B1333" s="29" t="n">
        <v>45684</v>
      </c>
      <c r="C1333" s="12" t="inlineStr">
        <is>
          <t>Treatment</t>
        </is>
      </c>
      <c r="D1333" s="12" t="inlineStr">
        <is>
          <t>South</t>
        </is>
      </c>
      <c r="E1333" s="12" t="inlineStr">
        <is>
          <t>Mobile</t>
        </is>
      </c>
      <c r="F1333" s="12" t="inlineStr">
        <is>
          <t>Organic</t>
        </is>
      </c>
      <c r="G1333" s="12" t="inlineStr">
        <is>
          <t>Basic</t>
        </is>
      </c>
      <c r="H1333" s="12" t="n">
        <v>1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/>
      <c r="P1333" s="12" t="n">
        <v>52.5</v>
      </c>
    </row>
    <row r="1334">
      <c r="A1334" s="12" t="inlineStr">
        <is>
          <t>USR-101333</t>
        </is>
      </c>
      <c r="B1334" s="29" t="n">
        <v>45679</v>
      </c>
      <c r="C1334" s="12" t="inlineStr">
        <is>
          <t>Treatment</t>
        </is>
      </c>
      <c r="D1334" s="12" t="inlineStr">
        <is>
          <t>East</t>
        </is>
      </c>
      <c r="E1334" s="12" t="inlineStr">
        <is>
          <t>Mobile</t>
        </is>
      </c>
      <c r="F1334" s="12" t="inlineStr">
        <is>
          <t>Social</t>
        </is>
      </c>
      <c r="G1334" s="12" t="inlineStr">
        <is>
          <t>Premium</t>
        </is>
      </c>
      <c r="H1334" s="12" t="n">
        <v>1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/>
      <c r="P1334" s="12" t="n">
        <v>73.5</v>
      </c>
    </row>
    <row r="1335">
      <c r="A1335" s="12" t="inlineStr">
        <is>
          <t>USR-101334</t>
        </is>
      </c>
      <c r="B1335" s="29" t="n">
        <v>45663</v>
      </c>
      <c r="C1335" s="12" t="inlineStr">
        <is>
          <t>Treatment</t>
        </is>
      </c>
      <c r="D1335" s="12" t="inlineStr">
        <is>
          <t>West</t>
        </is>
      </c>
      <c r="E1335" s="12" t="inlineStr">
        <is>
          <t>Desktop</t>
        </is>
      </c>
      <c r="F1335" s="12" t="inlineStr">
        <is>
          <t>Paid Search</t>
        </is>
      </c>
      <c r="G1335" s="12" t="inlineStr">
        <is>
          <t>Free</t>
        </is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/>
      <c r="P1335" s="12" t="n">
        <v>62.5</v>
      </c>
    </row>
    <row r="1336">
      <c r="A1336" s="12" t="inlineStr">
        <is>
          <t>USR-101335</t>
        </is>
      </c>
      <c r="B1336" s="29" t="n">
        <v>45763</v>
      </c>
      <c r="C1336" s="12" t="inlineStr">
        <is>
          <t>Treatment</t>
        </is>
      </c>
      <c r="D1336" s="12" t="inlineStr">
        <is>
          <t>South</t>
        </is>
      </c>
      <c r="E1336" s="12" t="n"/>
      <c r="F1336" s="12" t="inlineStr">
        <is>
          <t>Organic</t>
        </is>
      </c>
      <c r="G1336" s="12" t="inlineStr">
        <is>
          <t>Free</t>
        </is>
      </c>
      <c r="H1336" s="12" t="n">
        <v>1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/>
      <c r="P1336" s="12" t="n">
        <v>76.90000000000001</v>
      </c>
    </row>
    <row r="1337">
      <c r="A1337" s="12" t="inlineStr">
        <is>
          <t>USR-101336</t>
        </is>
      </c>
      <c r="B1337" s="29" t="n">
        <v>45761</v>
      </c>
      <c r="C1337" s="12" t="inlineStr">
        <is>
          <t>Treatment</t>
        </is>
      </c>
      <c r="D1337" s="12" t="inlineStr">
        <is>
          <t>South</t>
        </is>
      </c>
      <c r="E1337" s="12" t="inlineStr">
        <is>
          <t>Mobile</t>
        </is>
      </c>
      <c r="F1337" s="12" t="inlineStr">
        <is>
          <t>Organic</t>
        </is>
      </c>
      <c r="G1337" s="12" t="inlineStr">
        <is>
          <t>Free</t>
        </is>
      </c>
      <c r="H1337" s="12" t="n">
        <v>1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/>
      <c r="P1337" s="12" t="n">
        <v>51.4</v>
      </c>
    </row>
    <row r="1338">
      <c r="A1338" s="12" t="inlineStr">
        <is>
          <t>USR-101337</t>
        </is>
      </c>
      <c r="B1338" s="29" t="n">
        <v>45710</v>
      </c>
      <c r="C1338" s="12" t="inlineStr">
        <is>
          <t>Treatment</t>
        </is>
      </c>
      <c r="D1338" s="12" t="inlineStr">
        <is>
          <t>West</t>
        </is>
      </c>
      <c r="E1338" s="12" t="inlineStr">
        <is>
          <t>Mobile</t>
        </is>
      </c>
      <c r="F1338" s="12" t="inlineStr">
        <is>
          <t>Paid Search</t>
        </is>
      </c>
      <c r="G1338" s="12" t="inlineStr">
        <is>
          <t>Basic</t>
        </is>
      </c>
      <c r="H1338" s="12" t="n">
        <v>1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/>
      <c r="P1338" s="12" t="n">
        <v>59.3</v>
      </c>
    </row>
    <row r="1339">
      <c r="A1339" s="12" t="inlineStr">
        <is>
          <t>USR-101338</t>
        </is>
      </c>
      <c r="B1339" s="29" t="n">
        <v>45725</v>
      </c>
      <c r="C1339" s="12" t="inlineStr">
        <is>
          <t>Treatment</t>
        </is>
      </c>
      <c r="D1339" s="12" t="inlineStr">
        <is>
          <t>North</t>
        </is>
      </c>
      <c r="E1339" s="12" t="inlineStr">
        <is>
          <t>Mobile</t>
        </is>
      </c>
      <c r="F1339" s="12" t="inlineStr">
        <is>
          <t>Organic</t>
        </is>
      </c>
      <c r="G1339" s="12" t="inlineStr">
        <is>
          <t>Basic</t>
        </is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/>
      <c r="P1339" s="12" t="n">
        <v>74.90000000000001</v>
      </c>
    </row>
    <row r="1340">
      <c r="A1340" s="12" t="inlineStr">
        <is>
          <t>USR-101339</t>
        </is>
      </c>
      <c r="B1340" s="29" t="n">
        <v>45767</v>
      </c>
      <c r="C1340" s="12" t="inlineStr">
        <is>
          <t>Treatment</t>
        </is>
      </c>
      <c r="D1340" s="12" t="inlineStr">
        <is>
          <t>West</t>
        </is>
      </c>
      <c r="E1340" s="12" t="inlineStr">
        <is>
          <t>Desktop</t>
        </is>
      </c>
      <c r="F1340" s="12" t="inlineStr">
        <is>
          <t>Organic</t>
        </is>
      </c>
      <c r="G1340" s="12" t="inlineStr">
        <is>
          <t>Free</t>
        </is>
      </c>
      <c r="H1340" s="12" t="n">
        <v>1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/>
      <c r="P1340" s="12" t="n">
        <v>67</v>
      </c>
    </row>
    <row r="1341">
      <c r="A1341" s="12" t="inlineStr">
        <is>
          <t>USR-101340</t>
        </is>
      </c>
      <c r="B1341" s="29" t="n">
        <v>45726</v>
      </c>
      <c r="C1341" s="12" t="inlineStr">
        <is>
          <t>Treatment</t>
        </is>
      </c>
      <c r="D1341" s="12" t="inlineStr">
        <is>
          <t>South</t>
        </is>
      </c>
      <c r="E1341" s="12" t="inlineStr">
        <is>
          <t>Mobile</t>
        </is>
      </c>
      <c r="F1341" s="12" t="inlineStr">
        <is>
          <t>Email</t>
        </is>
      </c>
      <c r="G1341" s="12" t="inlineStr">
        <is>
          <t>Free</t>
        </is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/>
      <c r="P1341" s="12" t="n">
        <v>63.6</v>
      </c>
    </row>
    <row r="1342">
      <c r="A1342" s="12" t="inlineStr">
        <is>
          <t>USR-101341</t>
        </is>
      </c>
      <c r="B1342" s="29" t="n">
        <v>45709</v>
      </c>
      <c r="C1342" s="12" t="inlineStr">
        <is>
          <t>Treatment</t>
        </is>
      </c>
      <c r="D1342" s="12" t="inlineStr">
        <is>
          <t>South</t>
        </is>
      </c>
      <c r="E1342" s="12" t="inlineStr">
        <is>
          <t>Mobile</t>
        </is>
      </c>
      <c r="F1342" s="12" t="inlineStr">
        <is>
          <t>Email</t>
        </is>
      </c>
      <c r="G1342" s="12" t="inlineStr">
        <is>
          <t>Free</t>
        </is>
      </c>
      <c r="H1342" s="12" t="n">
        <v>1</v>
      </c>
      <c r="I1342" s="12" t="n">
        <v>1</v>
      </c>
      <c r="J1342" s="12" t="n">
        <v>0</v>
      </c>
      <c r="K1342" s="12" t="n">
        <v>0</v>
      </c>
      <c r="L1342" s="12" t="n">
        <v>0</v>
      </c>
      <c r="M1342" s="12" t="n">
        <v>1</v>
      </c>
      <c r="N1342" s="12" t="n">
        <v>0</v>
      </c>
      <c r="O1342" s="12" t="n"/>
      <c r="P1342" s="12" t="n">
        <v>58.4</v>
      </c>
    </row>
    <row r="1343">
      <c r="A1343" s="12" t="inlineStr">
        <is>
          <t>USR-101342</t>
        </is>
      </c>
      <c r="B1343" s="29" t="n">
        <v>45663</v>
      </c>
      <c r="C1343" s="12" t="inlineStr">
        <is>
          <t>Treatment</t>
        </is>
      </c>
      <c r="D1343" s="12" t="inlineStr">
        <is>
          <t>North</t>
        </is>
      </c>
      <c r="E1343" s="12" t="inlineStr">
        <is>
          <t>Desktop</t>
        </is>
      </c>
      <c r="F1343" s="12" t="inlineStr">
        <is>
          <t>Social</t>
        </is>
      </c>
      <c r="G1343" s="12" t="inlineStr">
        <is>
          <t>Free</t>
        </is>
      </c>
      <c r="H1343" s="12" t="n">
        <v>1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/>
      <c r="P1343" s="12" t="n">
        <v>36.8</v>
      </c>
    </row>
    <row r="1344">
      <c r="A1344" s="12" t="inlineStr">
        <is>
          <t>USR-101343</t>
        </is>
      </c>
      <c r="B1344" s="29" t="n">
        <v>45764</v>
      </c>
      <c r="C1344" s="12" t="inlineStr">
        <is>
          <t>Treatment</t>
        </is>
      </c>
      <c r="D1344" s="12" t="inlineStr">
        <is>
          <t>South</t>
        </is>
      </c>
      <c r="E1344" s="12" t="inlineStr">
        <is>
          <t>Mobile</t>
        </is>
      </c>
      <c r="F1344" s="12" t="inlineStr">
        <is>
          <t>Organic</t>
        </is>
      </c>
      <c r="G1344" s="12" t="inlineStr">
        <is>
          <t>Premium</t>
        </is>
      </c>
      <c r="H1344" s="12" t="n">
        <v>1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/>
      <c r="P1344" s="12" t="n">
        <v>71.59999999999999</v>
      </c>
    </row>
    <row r="1345">
      <c r="A1345" s="12" t="inlineStr">
        <is>
          <t>USR-101344</t>
        </is>
      </c>
      <c r="B1345" s="29" t="n">
        <v>45800</v>
      </c>
      <c r="C1345" s="12" t="inlineStr">
        <is>
          <t>Treatment</t>
        </is>
      </c>
      <c r="D1345" s="12" t="inlineStr">
        <is>
          <t>South</t>
        </is>
      </c>
      <c r="E1345" s="12" t="inlineStr">
        <is>
          <t>Mobile</t>
        </is>
      </c>
      <c r="F1345" s="12" t="inlineStr">
        <is>
          <t>Email</t>
        </is>
      </c>
      <c r="G1345" s="12" t="inlineStr">
        <is>
          <t>Basic</t>
        </is>
      </c>
      <c r="H1345" s="12" t="n">
        <v>1</v>
      </c>
      <c r="I1345" s="12" t="n">
        <v>1</v>
      </c>
      <c r="J1345" s="12" t="n">
        <v>0</v>
      </c>
      <c r="K1345" s="12" t="n">
        <v>0</v>
      </c>
      <c r="L1345" s="12" t="n">
        <v>0</v>
      </c>
      <c r="M1345" s="12" t="n">
        <v>1</v>
      </c>
      <c r="N1345" s="12" t="n">
        <v>0</v>
      </c>
      <c r="O1345" s="12" t="n"/>
      <c r="P1345" s="12" t="n">
        <v>79.7</v>
      </c>
    </row>
    <row r="1346">
      <c r="A1346" s="12" t="inlineStr">
        <is>
          <t>USR-101345</t>
        </is>
      </c>
      <c r="B1346" s="29" t="n">
        <v>45730</v>
      </c>
      <c r="C1346" s="12" t="inlineStr">
        <is>
          <t>Treatment</t>
        </is>
      </c>
      <c r="D1346" s="12" t="inlineStr">
        <is>
          <t>West</t>
        </is>
      </c>
      <c r="E1346" s="12" t="inlineStr">
        <is>
          <t>Desktop</t>
        </is>
      </c>
      <c r="F1346" s="12" t="inlineStr">
        <is>
          <t>Organic</t>
        </is>
      </c>
      <c r="G1346" s="12" t="inlineStr">
        <is>
          <t>Basic</t>
        </is>
      </c>
      <c r="H1346" s="12" t="n">
        <v>1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1</v>
      </c>
      <c r="N1346" s="12" t="n">
        <v>0</v>
      </c>
      <c r="O1346" s="12" t="n"/>
      <c r="P1346" s="12" t="n">
        <v>56.5</v>
      </c>
    </row>
    <row r="1347">
      <c r="A1347" s="12" t="inlineStr">
        <is>
          <t>USR-101346</t>
        </is>
      </c>
      <c r="B1347" s="29" t="n">
        <v>45768</v>
      </c>
      <c r="C1347" s="12" t="inlineStr">
        <is>
          <t>Treatment</t>
        </is>
      </c>
      <c r="D1347" s="12" t="inlineStr">
        <is>
          <t>North</t>
        </is>
      </c>
      <c r="E1347" s="12" t="inlineStr">
        <is>
          <t>Mobile</t>
        </is>
      </c>
      <c r="F1347" s="12" t="inlineStr">
        <is>
          <t>Social</t>
        </is>
      </c>
      <c r="G1347" s="12" t="inlineStr">
        <is>
          <t>Premium</t>
        </is>
      </c>
      <c r="H1347" s="12" t="n">
        <v>1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/>
      <c r="P1347" s="12" t="n">
        <v>44.7</v>
      </c>
    </row>
    <row r="1348">
      <c r="A1348" s="12" t="inlineStr">
        <is>
          <t>USR-101347</t>
        </is>
      </c>
      <c r="B1348" s="29" t="n">
        <v>45660</v>
      </c>
      <c r="C1348" s="12" t="inlineStr">
        <is>
          <t>Treatment</t>
        </is>
      </c>
      <c r="D1348" s="12" t="inlineStr">
        <is>
          <t>South</t>
        </is>
      </c>
      <c r="E1348" s="12" t="inlineStr">
        <is>
          <t>Mobile</t>
        </is>
      </c>
      <c r="F1348" s="12" t="inlineStr">
        <is>
          <t>Social</t>
        </is>
      </c>
      <c r="G1348" s="12" t="inlineStr">
        <is>
          <t>Free</t>
        </is>
      </c>
      <c r="H1348" s="12" t="n">
        <v>1</v>
      </c>
      <c r="I1348" s="12" t="n">
        <v>1</v>
      </c>
      <c r="J1348" s="12" t="n">
        <v>1</v>
      </c>
      <c r="K1348" s="12" t="n">
        <v>0</v>
      </c>
      <c r="L1348" s="12" t="n">
        <v>0</v>
      </c>
      <c r="M1348" s="12" t="n">
        <v>1</v>
      </c>
      <c r="N1348" s="12" t="n">
        <v>0</v>
      </c>
      <c r="O1348" s="12" t="n"/>
      <c r="P1348" s="12" t="n">
        <v>66</v>
      </c>
    </row>
    <row r="1349">
      <c r="A1349" s="12" t="inlineStr">
        <is>
          <t>USR-101348</t>
        </is>
      </c>
      <c r="B1349" s="29" t="n">
        <v>45786</v>
      </c>
      <c r="C1349" s="12" t="inlineStr">
        <is>
          <t>Treatment</t>
        </is>
      </c>
      <c r="D1349" s="12" t="inlineStr">
        <is>
          <t>North</t>
        </is>
      </c>
      <c r="E1349" s="12" t="inlineStr">
        <is>
          <t>Desktop</t>
        </is>
      </c>
      <c r="F1349" s="12" t="inlineStr">
        <is>
          <t>Organic</t>
        </is>
      </c>
      <c r="G1349" s="12" t="inlineStr">
        <is>
          <t>Basic</t>
        </is>
      </c>
      <c r="H1349" s="12" t="n">
        <v>1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/>
      <c r="P1349" s="12" t="n">
        <v>73</v>
      </c>
    </row>
    <row r="1350">
      <c r="A1350" s="12" t="inlineStr">
        <is>
          <t>USR-101349</t>
        </is>
      </c>
      <c r="B1350" s="29" t="n">
        <v>45799</v>
      </c>
      <c r="C1350" s="12" t="inlineStr">
        <is>
          <t>Treatment</t>
        </is>
      </c>
      <c r="D1350" s="12" t="inlineStr">
        <is>
          <t>South</t>
        </is>
      </c>
      <c r="E1350" s="12" t="inlineStr">
        <is>
          <t>Mobile</t>
        </is>
      </c>
      <c r="F1350" s="12" t="inlineStr">
        <is>
          <t>Organic</t>
        </is>
      </c>
      <c r="G1350" s="12" t="inlineStr">
        <is>
          <t>Basic</t>
        </is>
      </c>
      <c r="H1350" s="12" t="n">
        <v>1</v>
      </c>
      <c r="I1350" s="12" t="n">
        <v>1</v>
      </c>
      <c r="J1350" s="12" t="n">
        <v>1</v>
      </c>
      <c r="K1350" s="12" t="n">
        <v>0</v>
      </c>
      <c r="L1350" s="12" t="n">
        <v>0</v>
      </c>
      <c r="M1350" s="12" t="n">
        <v>1</v>
      </c>
      <c r="N1350" s="12" t="n">
        <v>0</v>
      </c>
      <c r="O1350" s="12" t="n"/>
      <c r="P1350" s="12" t="n">
        <v>72.5</v>
      </c>
    </row>
    <row r="1351">
      <c r="A1351" s="12" t="inlineStr">
        <is>
          <t>USR-101350</t>
        </is>
      </c>
      <c r="B1351" s="29" t="n">
        <v>45784</v>
      </c>
      <c r="C1351" s="12" t="inlineStr">
        <is>
          <t>Treatment</t>
        </is>
      </c>
      <c r="D1351" s="12" t="inlineStr">
        <is>
          <t>South</t>
        </is>
      </c>
      <c r="E1351" s="12" t="inlineStr">
        <is>
          <t>Desktop</t>
        </is>
      </c>
      <c r="F1351" s="12" t="inlineStr">
        <is>
          <t>Paid Search</t>
        </is>
      </c>
      <c r="G1351" s="12" t="inlineStr">
        <is>
          <t>Free</t>
        </is>
      </c>
      <c r="H1351" s="12" t="n">
        <v>1</v>
      </c>
      <c r="I1351" s="12" t="n">
        <v>1</v>
      </c>
      <c r="J1351" s="12" t="n">
        <v>1</v>
      </c>
      <c r="K1351" s="12" t="n">
        <v>1</v>
      </c>
      <c r="L1351" s="12" t="n">
        <v>323.6</v>
      </c>
      <c r="M1351" s="12" t="n">
        <v>0</v>
      </c>
      <c r="N1351" s="12" t="n">
        <v>0</v>
      </c>
      <c r="O1351" s="12" t="n">
        <v>6</v>
      </c>
      <c r="P1351" s="12" t="n">
        <v>100</v>
      </c>
    </row>
    <row r="1352">
      <c r="A1352" s="12" t="inlineStr">
        <is>
          <t>USR-101351</t>
        </is>
      </c>
      <c r="B1352" s="29" t="n">
        <v>45696</v>
      </c>
      <c r="C1352" s="12" t="inlineStr">
        <is>
          <t>Treatment</t>
        </is>
      </c>
      <c r="D1352" s="12" t="inlineStr">
        <is>
          <t>East</t>
        </is>
      </c>
      <c r="E1352" s="12" t="inlineStr">
        <is>
          <t>Mobile</t>
        </is>
      </c>
      <c r="F1352" s="12" t="inlineStr">
        <is>
          <t>Social</t>
        </is>
      </c>
      <c r="G1352" s="12" t="inlineStr">
        <is>
          <t>Free</t>
        </is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1</v>
      </c>
      <c r="N1352" s="12" t="n">
        <v>0</v>
      </c>
      <c r="O1352" s="12" t="n"/>
      <c r="P1352" s="12" t="n">
        <v>90.5</v>
      </c>
    </row>
    <row r="1353">
      <c r="A1353" s="12" t="inlineStr">
        <is>
          <t>USR-101352</t>
        </is>
      </c>
      <c r="B1353" s="29" t="n">
        <v>45750</v>
      </c>
      <c r="C1353" s="12" t="inlineStr">
        <is>
          <t>Treatment</t>
        </is>
      </c>
      <c r="D1353" s="12" t="inlineStr">
        <is>
          <t>North</t>
        </is>
      </c>
      <c r="E1353" s="12" t="inlineStr">
        <is>
          <t>Tablet</t>
        </is>
      </c>
      <c r="F1353" s="12" t="inlineStr">
        <is>
          <t>Social</t>
        </is>
      </c>
      <c r="G1353" s="12" t="inlineStr">
        <is>
          <t>Basic</t>
        </is>
      </c>
      <c r="H1353" s="12" t="n">
        <v>1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/>
      <c r="P1353" s="12" t="n">
        <v>70.2</v>
      </c>
    </row>
    <row r="1354">
      <c r="A1354" s="12" t="inlineStr">
        <is>
          <t>USR-101353</t>
        </is>
      </c>
      <c r="B1354" s="29" t="n">
        <v>45764</v>
      </c>
      <c r="C1354" s="12" t="inlineStr">
        <is>
          <t>Treatment</t>
        </is>
      </c>
      <c r="D1354" s="12" t="inlineStr">
        <is>
          <t>East</t>
        </is>
      </c>
      <c r="E1354" s="12" t="inlineStr">
        <is>
          <t>Desktop</t>
        </is>
      </c>
      <c r="F1354" s="12" t="inlineStr">
        <is>
          <t>Paid Search</t>
        </is>
      </c>
      <c r="G1354" s="12" t="inlineStr">
        <is>
          <t>Free</t>
        </is>
      </c>
      <c r="H1354" s="12" t="n">
        <v>1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1</v>
      </c>
      <c r="N1354" s="12" t="n">
        <v>0</v>
      </c>
      <c r="O1354" s="12" t="n"/>
      <c r="P1354" s="12" t="n">
        <v>67.09999999999999</v>
      </c>
    </row>
    <row r="1355">
      <c r="A1355" s="12" t="inlineStr">
        <is>
          <t>USR-101354</t>
        </is>
      </c>
      <c r="B1355" s="29" t="n">
        <v>45781</v>
      </c>
      <c r="C1355" s="12" t="inlineStr">
        <is>
          <t>Treatment</t>
        </is>
      </c>
      <c r="D1355" s="12" t="inlineStr">
        <is>
          <t>East</t>
        </is>
      </c>
      <c r="E1355" s="12" t="inlineStr">
        <is>
          <t>Mobile</t>
        </is>
      </c>
      <c r="F1355" s="12" t="inlineStr">
        <is>
          <t>Organic</t>
        </is>
      </c>
      <c r="G1355" s="12" t="inlineStr">
        <is>
          <t>Free</t>
        </is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/>
      <c r="P1355" s="12" t="n">
        <v>54.5</v>
      </c>
    </row>
    <row r="1356">
      <c r="A1356" s="12" t="inlineStr">
        <is>
          <t>USR-101355</t>
        </is>
      </c>
      <c r="B1356" s="29" t="n">
        <v>45788</v>
      </c>
      <c r="C1356" s="12" t="inlineStr">
        <is>
          <t>Treatment</t>
        </is>
      </c>
      <c r="D1356" s="12" t="inlineStr">
        <is>
          <t>West</t>
        </is>
      </c>
      <c r="E1356" s="12" t="inlineStr">
        <is>
          <t>Desktop</t>
        </is>
      </c>
      <c r="F1356" s="12" t="inlineStr">
        <is>
          <t>Organic</t>
        </is>
      </c>
      <c r="G1356" s="12" t="inlineStr">
        <is>
          <t>Free</t>
        </is>
      </c>
      <c r="H1356" s="12" t="n">
        <v>1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/>
      <c r="P1356" s="12" t="n">
        <v>63.4</v>
      </c>
    </row>
    <row r="1357">
      <c r="A1357" s="12" t="inlineStr">
        <is>
          <t>USR-101356</t>
        </is>
      </c>
      <c r="B1357" s="29" t="n">
        <v>45717</v>
      </c>
      <c r="C1357" s="12" t="inlineStr">
        <is>
          <t>Treatment</t>
        </is>
      </c>
      <c r="D1357" s="12" t="inlineStr">
        <is>
          <t>North</t>
        </is>
      </c>
      <c r="E1357" s="12" t="inlineStr">
        <is>
          <t>Desktop</t>
        </is>
      </c>
      <c r="F1357" s="12" t="n"/>
      <c r="G1357" s="12" t="inlineStr">
        <is>
          <t>Free</t>
        </is>
      </c>
      <c r="H1357" s="12" t="n">
        <v>1</v>
      </c>
      <c r="I1357" s="12" t="n">
        <v>1</v>
      </c>
      <c r="J1357" s="12" t="n">
        <v>1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/>
      <c r="P1357" s="12" t="n">
        <v>84.3</v>
      </c>
    </row>
    <row r="1358">
      <c r="A1358" s="12" t="inlineStr">
        <is>
          <t>USR-101357</t>
        </is>
      </c>
      <c r="B1358" s="29" t="n">
        <v>45708</v>
      </c>
      <c r="C1358" s="12" t="inlineStr">
        <is>
          <t>Treatment</t>
        </is>
      </c>
      <c r="D1358" s="12" t="inlineStr">
        <is>
          <t>West</t>
        </is>
      </c>
      <c r="E1358" s="12" t="inlineStr">
        <is>
          <t>Desktop</t>
        </is>
      </c>
      <c r="F1358" s="12" t="inlineStr">
        <is>
          <t>Organic</t>
        </is>
      </c>
      <c r="G1358" s="12" t="inlineStr">
        <is>
          <t>Free</t>
        </is>
      </c>
      <c r="H1358" s="12" t="n">
        <v>1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1</v>
      </c>
      <c r="N1358" s="12" t="n">
        <v>0</v>
      </c>
      <c r="O1358" s="12" t="n"/>
      <c r="P1358" s="12" t="n">
        <v>55</v>
      </c>
    </row>
    <row r="1359">
      <c r="A1359" s="12" t="inlineStr">
        <is>
          <t>USR-101358</t>
        </is>
      </c>
      <c r="B1359" s="29" t="n">
        <v>45786</v>
      </c>
      <c r="C1359" s="12" t="inlineStr">
        <is>
          <t>Treatment</t>
        </is>
      </c>
      <c r="D1359" s="12" t="inlineStr">
        <is>
          <t>West</t>
        </is>
      </c>
      <c r="E1359" s="12" t="inlineStr">
        <is>
          <t>Mobile</t>
        </is>
      </c>
      <c r="F1359" s="12" t="inlineStr">
        <is>
          <t>Social</t>
        </is>
      </c>
      <c r="G1359" s="12" t="inlineStr">
        <is>
          <t>Free</t>
        </is>
      </c>
      <c r="H1359" s="12" t="n">
        <v>1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/>
      <c r="P1359" s="12" t="n">
        <v>63.6</v>
      </c>
    </row>
    <row r="1360">
      <c r="A1360" s="12" t="inlineStr">
        <is>
          <t>USR-101359</t>
        </is>
      </c>
      <c r="B1360" s="29" t="n">
        <v>45777</v>
      </c>
      <c r="C1360" s="12" t="inlineStr">
        <is>
          <t>Treatment</t>
        </is>
      </c>
      <c r="D1360" s="12" t="inlineStr">
        <is>
          <t>West</t>
        </is>
      </c>
      <c r="E1360" s="12" t="inlineStr">
        <is>
          <t>Mobile</t>
        </is>
      </c>
      <c r="F1360" s="12" t="inlineStr">
        <is>
          <t>Organic</t>
        </is>
      </c>
      <c r="G1360" s="12" t="inlineStr">
        <is>
          <t>Free</t>
        </is>
      </c>
      <c r="H1360" s="12" t="n">
        <v>1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/>
      <c r="P1360" s="12" t="n">
        <v>55.5</v>
      </c>
    </row>
    <row r="1361">
      <c r="A1361" s="12" t="inlineStr">
        <is>
          <t>USR-101360</t>
        </is>
      </c>
      <c r="B1361" s="29" t="n">
        <v>45664</v>
      </c>
      <c r="C1361" s="12" t="inlineStr">
        <is>
          <t>Treatment</t>
        </is>
      </c>
      <c r="D1361" s="12" t="inlineStr">
        <is>
          <t>South</t>
        </is>
      </c>
      <c r="E1361" s="12" t="inlineStr">
        <is>
          <t>Mobile</t>
        </is>
      </c>
      <c r="F1361" s="12" t="inlineStr">
        <is>
          <t>Social</t>
        </is>
      </c>
      <c r="G1361" s="12" t="inlineStr">
        <is>
          <t>Basic</t>
        </is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/>
      <c r="P1361" s="12" t="n">
        <v>50.5</v>
      </c>
    </row>
    <row r="1362">
      <c r="A1362" s="12" t="inlineStr">
        <is>
          <t>USR-101361</t>
        </is>
      </c>
      <c r="B1362" s="29" t="n">
        <v>45777</v>
      </c>
      <c r="C1362" s="12" t="inlineStr">
        <is>
          <t>Treatment</t>
        </is>
      </c>
      <c r="D1362" s="12" t="inlineStr">
        <is>
          <t>North</t>
        </is>
      </c>
      <c r="E1362" s="12" t="inlineStr">
        <is>
          <t>Mobile</t>
        </is>
      </c>
      <c r="F1362" s="12" t="inlineStr">
        <is>
          <t>Social</t>
        </is>
      </c>
      <c r="G1362" s="12" t="inlineStr">
        <is>
          <t>Basic</t>
        </is>
      </c>
      <c r="H1362" s="12" t="n">
        <v>1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/>
      <c r="P1362" s="12" t="n">
        <v>45.3</v>
      </c>
    </row>
    <row r="1363">
      <c r="A1363" s="12" t="inlineStr">
        <is>
          <t>USR-101362</t>
        </is>
      </c>
      <c r="B1363" s="29" t="n">
        <v>45800</v>
      </c>
      <c r="C1363" s="12" t="inlineStr">
        <is>
          <t>Treatment</t>
        </is>
      </c>
      <c r="D1363" s="12" t="inlineStr">
        <is>
          <t>East</t>
        </is>
      </c>
      <c r="E1363" s="12" t="inlineStr">
        <is>
          <t>Mobile</t>
        </is>
      </c>
      <c r="F1363" s="12" t="inlineStr">
        <is>
          <t>Organic</t>
        </is>
      </c>
      <c r="G1363" s="12" t="inlineStr">
        <is>
          <t>Basic</t>
        </is>
      </c>
      <c r="H1363" s="12" t="n">
        <v>1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/>
      <c r="P1363" s="12" t="n">
        <v>33.6</v>
      </c>
    </row>
    <row r="1364">
      <c r="A1364" s="12" t="inlineStr">
        <is>
          <t>USR-101363</t>
        </is>
      </c>
      <c r="B1364" s="29" t="n">
        <v>45728</v>
      </c>
      <c r="C1364" s="12" t="inlineStr">
        <is>
          <t>Treatment</t>
        </is>
      </c>
      <c r="D1364" s="12" t="inlineStr">
        <is>
          <t>South</t>
        </is>
      </c>
      <c r="E1364" s="12" t="inlineStr">
        <is>
          <t>Mobile</t>
        </is>
      </c>
      <c r="F1364" s="12" t="inlineStr">
        <is>
          <t>Paid Search</t>
        </is>
      </c>
      <c r="G1364" s="12" t="inlineStr">
        <is>
          <t>Premium</t>
        </is>
      </c>
      <c r="H1364" s="12" t="n">
        <v>1</v>
      </c>
      <c r="I1364" s="12" t="n">
        <v>1</v>
      </c>
      <c r="J1364" s="12" t="n">
        <v>1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/>
      <c r="P1364" s="12" t="n">
        <v>88.2</v>
      </c>
    </row>
    <row r="1365">
      <c r="A1365" s="12" t="inlineStr">
        <is>
          <t>USR-101364</t>
        </is>
      </c>
      <c r="B1365" s="29" t="n">
        <v>45705</v>
      </c>
      <c r="C1365" s="12" t="inlineStr">
        <is>
          <t>Treatment</t>
        </is>
      </c>
      <c r="D1365" s="12" t="inlineStr">
        <is>
          <t>North</t>
        </is>
      </c>
      <c r="E1365" s="12" t="inlineStr">
        <is>
          <t>Mobile</t>
        </is>
      </c>
      <c r="F1365" s="12" t="inlineStr">
        <is>
          <t>Organic</t>
        </is>
      </c>
      <c r="G1365" s="12" t="inlineStr">
        <is>
          <t>Premium</t>
        </is>
      </c>
      <c r="H1365" s="12" t="n">
        <v>1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/>
      <c r="P1365" s="12" t="n">
        <v>51.8</v>
      </c>
    </row>
    <row r="1366">
      <c r="A1366" s="12" t="inlineStr">
        <is>
          <t>USR-101365</t>
        </is>
      </c>
      <c r="B1366" s="29" t="n">
        <v>45804</v>
      </c>
      <c r="C1366" s="12" t="inlineStr">
        <is>
          <t>Treatment</t>
        </is>
      </c>
      <c r="D1366" s="12" t="inlineStr">
        <is>
          <t>North</t>
        </is>
      </c>
      <c r="E1366" s="12" t="inlineStr">
        <is>
          <t>Desktop</t>
        </is>
      </c>
      <c r="F1366" s="12" t="inlineStr">
        <is>
          <t>Organic</t>
        </is>
      </c>
      <c r="G1366" s="12" t="inlineStr">
        <is>
          <t>Basic</t>
        </is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/>
      <c r="P1366" s="12" t="n">
        <v>87.90000000000001</v>
      </c>
    </row>
    <row r="1367">
      <c r="A1367" s="12" t="inlineStr">
        <is>
          <t>USR-101366</t>
        </is>
      </c>
      <c r="B1367" s="29" t="n">
        <v>45787</v>
      </c>
      <c r="C1367" s="12" t="inlineStr">
        <is>
          <t>Treatment</t>
        </is>
      </c>
      <c r="D1367" s="12" t="inlineStr">
        <is>
          <t>South</t>
        </is>
      </c>
      <c r="E1367" s="12" t="inlineStr">
        <is>
          <t>Mobile</t>
        </is>
      </c>
      <c r="F1367" s="12" t="inlineStr">
        <is>
          <t>Social</t>
        </is>
      </c>
      <c r="G1367" s="12" t="inlineStr">
        <is>
          <t>Premium</t>
        </is>
      </c>
      <c r="H1367" s="12" t="n">
        <v>1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2</v>
      </c>
      <c r="N1367" s="12" t="n">
        <v>0</v>
      </c>
      <c r="O1367" s="12" t="n"/>
      <c r="P1367" s="12" t="n">
        <v>70.5</v>
      </c>
    </row>
    <row r="1368">
      <c r="A1368" s="12" t="inlineStr">
        <is>
          <t>USR-101367</t>
        </is>
      </c>
      <c r="B1368" s="29" t="n">
        <v>45677</v>
      </c>
      <c r="C1368" s="12" t="inlineStr">
        <is>
          <t>Treatment</t>
        </is>
      </c>
      <c r="D1368" s="12" t="inlineStr">
        <is>
          <t>North</t>
        </is>
      </c>
      <c r="E1368" s="12" t="inlineStr">
        <is>
          <t>Mobile</t>
        </is>
      </c>
      <c r="F1368" s="12" t="inlineStr">
        <is>
          <t>Organic</t>
        </is>
      </c>
      <c r="G1368" s="12" t="inlineStr">
        <is>
          <t>Basic</t>
        </is>
      </c>
      <c r="H1368" s="12" t="n">
        <v>1</v>
      </c>
      <c r="I1368" s="12" t="n">
        <v>1</v>
      </c>
      <c r="J1368" s="12" t="n">
        <v>0</v>
      </c>
      <c r="K1368" s="12" t="n">
        <v>0</v>
      </c>
      <c r="L1368" s="12" t="n">
        <v>0</v>
      </c>
      <c r="M1368" s="12" t="n">
        <v>2</v>
      </c>
      <c r="N1368" s="12" t="n">
        <v>0</v>
      </c>
      <c r="O1368" s="12" t="n"/>
      <c r="P1368" s="12" t="n">
        <v>58.5</v>
      </c>
    </row>
    <row r="1369">
      <c r="A1369" s="12" t="inlineStr">
        <is>
          <t>USR-101368</t>
        </is>
      </c>
      <c r="B1369" s="29" t="n">
        <v>45676</v>
      </c>
      <c r="C1369" s="12" t="inlineStr">
        <is>
          <t>Treatment</t>
        </is>
      </c>
      <c r="D1369" s="12" t="inlineStr">
        <is>
          <t>East</t>
        </is>
      </c>
      <c r="E1369" s="12" t="inlineStr">
        <is>
          <t>Mobile</t>
        </is>
      </c>
      <c r="F1369" s="12" t="inlineStr">
        <is>
          <t>Referral</t>
        </is>
      </c>
      <c r="G1369" s="12" t="inlineStr">
        <is>
          <t>Free</t>
        </is>
      </c>
      <c r="H1369" s="12" t="n">
        <v>1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/>
      <c r="P1369" s="12" t="n">
        <v>65.59999999999999</v>
      </c>
    </row>
    <row r="1370">
      <c r="A1370" s="12" t="inlineStr">
        <is>
          <t>USR-101369</t>
        </is>
      </c>
      <c r="B1370" s="29" t="n">
        <v>45723</v>
      </c>
      <c r="C1370" s="12" t="inlineStr">
        <is>
          <t>Treatment</t>
        </is>
      </c>
      <c r="D1370" s="12" t="inlineStr">
        <is>
          <t>West</t>
        </is>
      </c>
      <c r="E1370" s="12" t="inlineStr">
        <is>
          <t>Desktop</t>
        </is>
      </c>
      <c r="F1370" s="12" t="inlineStr">
        <is>
          <t>Paid Search</t>
        </is>
      </c>
      <c r="G1370" s="12" t="inlineStr">
        <is>
          <t>Basic</t>
        </is>
      </c>
      <c r="H1370" s="12" t="n">
        <v>1</v>
      </c>
      <c r="I1370" s="12" t="n">
        <v>1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/>
      <c r="P1370" s="12" t="n">
        <v>62.7</v>
      </c>
    </row>
    <row r="1371">
      <c r="A1371" s="12" t="inlineStr">
        <is>
          <t>USR-101370</t>
        </is>
      </c>
      <c r="B1371" s="29" t="n">
        <v>45690</v>
      </c>
      <c r="C1371" s="12" t="inlineStr">
        <is>
          <t>Treatment</t>
        </is>
      </c>
      <c r="D1371" s="12" t="inlineStr">
        <is>
          <t>East</t>
        </is>
      </c>
      <c r="E1371" s="12" t="inlineStr">
        <is>
          <t>Mobile</t>
        </is>
      </c>
      <c r="F1371" s="12" t="inlineStr">
        <is>
          <t>Organic</t>
        </is>
      </c>
      <c r="G1371" s="12" t="inlineStr">
        <is>
          <t>Free</t>
        </is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1</v>
      </c>
      <c r="N1371" s="12" t="n">
        <v>0</v>
      </c>
      <c r="O1371" s="12" t="n"/>
      <c r="P1371" s="12" t="n">
        <v>50.9</v>
      </c>
    </row>
    <row r="1372">
      <c r="A1372" s="12" t="inlineStr">
        <is>
          <t>USR-101371</t>
        </is>
      </c>
      <c r="B1372" s="29" t="n">
        <v>45723</v>
      </c>
      <c r="C1372" s="12" t="inlineStr">
        <is>
          <t>Treatment</t>
        </is>
      </c>
      <c r="D1372" s="12" t="inlineStr">
        <is>
          <t>North</t>
        </is>
      </c>
      <c r="E1372" s="12" t="inlineStr">
        <is>
          <t>Mobile</t>
        </is>
      </c>
      <c r="F1372" s="12" t="inlineStr">
        <is>
          <t>Organic</t>
        </is>
      </c>
      <c r="G1372" s="12" t="inlineStr">
        <is>
          <t>Free</t>
        </is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1</v>
      </c>
      <c r="N1372" s="12" t="n">
        <v>0</v>
      </c>
      <c r="O1372" s="12" t="n"/>
      <c r="P1372" s="12" t="n">
        <v>60.6</v>
      </c>
    </row>
    <row r="1373">
      <c r="A1373" s="12" t="inlineStr">
        <is>
          <t>USR-101372</t>
        </is>
      </c>
      <c r="B1373" s="29" t="n">
        <v>45746</v>
      </c>
      <c r="C1373" s="12" t="inlineStr">
        <is>
          <t>Treatment</t>
        </is>
      </c>
      <c r="D1373" s="12" t="inlineStr">
        <is>
          <t>East</t>
        </is>
      </c>
      <c r="E1373" s="12" t="inlineStr">
        <is>
          <t>Desktop</t>
        </is>
      </c>
      <c r="F1373" s="12" t="inlineStr">
        <is>
          <t>Organic</t>
        </is>
      </c>
      <c r="G1373" s="12" t="inlineStr">
        <is>
          <t>Free</t>
        </is>
      </c>
      <c r="H1373" s="12" t="n">
        <v>1</v>
      </c>
      <c r="I1373" s="12" t="n">
        <v>1</v>
      </c>
      <c r="J1373" s="12" t="n">
        <v>1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/>
      <c r="P1373" s="12" t="n">
        <v>76.59999999999999</v>
      </c>
    </row>
    <row r="1374">
      <c r="A1374" s="12" t="inlineStr">
        <is>
          <t>USR-101373</t>
        </is>
      </c>
      <c r="B1374" s="29" t="n">
        <v>45782</v>
      </c>
      <c r="C1374" s="12" t="inlineStr">
        <is>
          <t>Treatment</t>
        </is>
      </c>
      <c r="D1374" s="12" t="inlineStr">
        <is>
          <t>East</t>
        </is>
      </c>
      <c r="E1374" s="12" t="inlineStr">
        <is>
          <t>Desktop</t>
        </is>
      </c>
      <c r="F1374" s="12" t="inlineStr">
        <is>
          <t>Paid Search</t>
        </is>
      </c>
      <c r="G1374" s="12" t="inlineStr">
        <is>
          <t>Free</t>
        </is>
      </c>
      <c r="H1374" s="12" t="n">
        <v>1</v>
      </c>
      <c r="I1374" s="12" t="n">
        <v>1</v>
      </c>
      <c r="J1374" s="12" t="n">
        <v>1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/>
      <c r="P1374" s="12" t="n">
        <v>54.4</v>
      </c>
    </row>
    <row r="1375">
      <c r="A1375" s="12" t="inlineStr">
        <is>
          <t>USR-101374</t>
        </is>
      </c>
      <c r="B1375" s="29" t="n">
        <v>45758</v>
      </c>
      <c r="C1375" s="12" t="inlineStr">
        <is>
          <t>Treatment</t>
        </is>
      </c>
      <c r="D1375" s="12" t="inlineStr">
        <is>
          <t>South</t>
        </is>
      </c>
      <c r="E1375" s="12" t="inlineStr">
        <is>
          <t>Mobile</t>
        </is>
      </c>
      <c r="F1375" s="12" t="inlineStr">
        <is>
          <t>Social</t>
        </is>
      </c>
      <c r="G1375" s="12" t="inlineStr">
        <is>
          <t>Free</t>
        </is>
      </c>
      <c r="H1375" s="12" t="n">
        <v>1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/>
      <c r="P1375" s="12" t="n">
        <v>31.2</v>
      </c>
    </row>
    <row r="1376">
      <c r="A1376" s="12" t="inlineStr">
        <is>
          <t>USR-101375</t>
        </is>
      </c>
      <c r="B1376" s="29" t="n">
        <v>45741</v>
      </c>
      <c r="C1376" s="12" t="inlineStr">
        <is>
          <t>Treatment</t>
        </is>
      </c>
      <c r="D1376" s="12" t="inlineStr">
        <is>
          <t>West</t>
        </is>
      </c>
      <c r="E1376" s="12" t="inlineStr">
        <is>
          <t>Desktop</t>
        </is>
      </c>
      <c r="F1376" s="12" t="inlineStr">
        <is>
          <t>Email</t>
        </is>
      </c>
      <c r="G1376" s="12" t="inlineStr">
        <is>
          <t>Premium</t>
        </is>
      </c>
      <c r="H1376" s="12" t="n">
        <v>1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/>
      <c r="P1376" s="12" t="n">
        <v>72.40000000000001</v>
      </c>
    </row>
    <row r="1377">
      <c r="A1377" s="12" t="inlineStr">
        <is>
          <t>USR-101376</t>
        </is>
      </c>
      <c r="B1377" s="29" t="n">
        <v>45740</v>
      </c>
      <c r="C1377" s="12" t="inlineStr">
        <is>
          <t>Treatment</t>
        </is>
      </c>
      <c r="D1377" s="12" t="inlineStr">
        <is>
          <t>North</t>
        </is>
      </c>
      <c r="E1377" s="12" t="inlineStr">
        <is>
          <t>Mobile</t>
        </is>
      </c>
      <c r="F1377" s="12" t="inlineStr">
        <is>
          <t>Organic</t>
        </is>
      </c>
      <c r="G1377" s="12" t="inlineStr">
        <is>
          <t>Premium</t>
        </is>
      </c>
      <c r="H1377" s="12" t="n">
        <v>1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/>
      <c r="P1377" s="12" t="n">
        <v>74.5</v>
      </c>
    </row>
    <row r="1378">
      <c r="A1378" s="12" t="inlineStr">
        <is>
          <t>USR-101377</t>
        </is>
      </c>
      <c r="B1378" s="29" t="n">
        <v>45774</v>
      </c>
      <c r="C1378" s="12" t="inlineStr">
        <is>
          <t>Treatment</t>
        </is>
      </c>
      <c r="D1378" s="12" t="inlineStr">
        <is>
          <t>East</t>
        </is>
      </c>
      <c r="E1378" s="12" t="inlineStr">
        <is>
          <t>Mobile</t>
        </is>
      </c>
      <c r="F1378" s="12" t="inlineStr">
        <is>
          <t>Organic</t>
        </is>
      </c>
      <c r="G1378" s="12" t="inlineStr">
        <is>
          <t>Basic</t>
        </is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/>
      <c r="P1378" s="12" t="n">
        <v>52.6</v>
      </c>
    </row>
    <row r="1379">
      <c r="A1379" s="12" t="inlineStr">
        <is>
          <t>USR-101378</t>
        </is>
      </c>
      <c r="B1379" s="29" t="n">
        <v>45682</v>
      </c>
      <c r="C1379" s="12" t="inlineStr">
        <is>
          <t>Treatment</t>
        </is>
      </c>
      <c r="D1379" s="12" t="inlineStr">
        <is>
          <t>North</t>
        </is>
      </c>
      <c r="E1379" s="12" t="inlineStr">
        <is>
          <t>Desktop</t>
        </is>
      </c>
      <c r="F1379" s="12" t="inlineStr">
        <is>
          <t>Paid Search</t>
        </is>
      </c>
      <c r="G1379" s="12" t="inlineStr">
        <is>
          <t>Free</t>
        </is>
      </c>
      <c r="H1379" s="12" t="n">
        <v>1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/>
      <c r="P1379" s="12" t="n">
        <v>75.40000000000001</v>
      </c>
    </row>
    <row r="1380">
      <c r="A1380" s="12" t="inlineStr">
        <is>
          <t>USR-101379</t>
        </is>
      </c>
      <c r="B1380" s="29" t="n">
        <v>45705</v>
      </c>
      <c r="C1380" s="12" t="inlineStr">
        <is>
          <t>Treatment</t>
        </is>
      </c>
      <c r="D1380" s="12" t="inlineStr">
        <is>
          <t>North</t>
        </is>
      </c>
      <c r="E1380" s="12" t="inlineStr">
        <is>
          <t>Tablet</t>
        </is>
      </c>
      <c r="F1380" s="12" t="inlineStr">
        <is>
          <t>Social</t>
        </is>
      </c>
      <c r="G1380" s="12" t="inlineStr">
        <is>
          <t>Basic</t>
        </is>
      </c>
      <c r="H1380" s="12" t="n">
        <v>1</v>
      </c>
      <c r="I1380" s="12" t="n">
        <v>1</v>
      </c>
      <c r="J1380" s="12" t="n">
        <v>1</v>
      </c>
      <c r="K1380" s="12" t="n">
        <v>1</v>
      </c>
      <c r="L1380" s="12" t="n">
        <v>751.33</v>
      </c>
      <c r="M1380" s="12" t="n">
        <v>0</v>
      </c>
      <c r="N1380" s="12" t="n">
        <v>0</v>
      </c>
      <c r="O1380" s="12" t="n">
        <v>9</v>
      </c>
      <c r="P1380" s="12" t="n">
        <v>34</v>
      </c>
    </row>
    <row r="1381">
      <c r="A1381" s="12" t="inlineStr">
        <is>
          <t>USR-101380</t>
        </is>
      </c>
      <c r="B1381" s="29" t="n">
        <v>45760</v>
      </c>
      <c r="C1381" s="12" t="inlineStr">
        <is>
          <t>Treatment</t>
        </is>
      </c>
      <c r="D1381" s="12" t="inlineStr">
        <is>
          <t>South</t>
        </is>
      </c>
      <c r="E1381" s="12" t="inlineStr">
        <is>
          <t>Desktop</t>
        </is>
      </c>
      <c r="F1381" s="12" t="inlineStr">
        <is>
          <t>Organic</t>
        </is>
      </c>
      <c r="G1381" s="12" t="inlineStr">
        <is>
          <t>Free</t>
        </is>
      </c>
      <c r="H1381" s="12" t="n">
        <v>1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/>
      <c r="P1381" s="12" t="n">
        <v>67.09999999999999</v>
      </c>
    </row>
    <row r="1382">
      <c r="A1382" s="12" t="inlineStr">
        <is>
          <t>USR-101381</t>
        </is>
      </c>
      <c r="B1382" s="29" t="n">
        <v>45780</v>
      </c>
      <c r="C1382" s="12" t="inlineStr">
        <is>
          <t>Treatment</t>
        </is>
      </c>
      <c r="D1382" s="12" t="inlineStr">
        <is>
          <t>West</t>
        </is>
      </c>
      <c r="E1382" s="12" t="inlineStr">
        <is>
          <t>Desktop</t>
        </is>
      </c>
      <c r="F1382" s="12" t="inlineStr">
        <is>
          <t>Paid Search</t>
        </is>
      </c>
      <c r="G1382" s="12" t="inlineStr">
        <is>
          <t>Premium</t>
        </is>
      </c>
      <c r="H1382" s="12" t="n">
        <v>1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/>
      <c r="P1382" s="12" t="n">
        <v>37.3</v>
      </c>
    </row>
    <row r="1383">
      <c r="A1383" s="12" t="inlineStr">
        <is>
          <t>USR-101382</t>
        </is>
      </c>
      <c r="B1383" s="29" t="n">
        <v>45776</v>
      </c>
      <c r="C1383" s="12" t="inlineStr">
        <is>
          <t>Treatment</t>
        </is>
      </c>
      <c r="D1383" s="12" t="inlineStr">
        <is>
          <t>West</t>
        </is>
      </c>
      <c r="E1383" s="12" t="inlineStr">
        <is>
          <t>Mobile</t>
        </is>
      </c>
      <c r="F1383" s="12" t="inlineStr">
        <is>
          <t>Email</t>
        </is>
      </c>
      <c r="G1383" s="12" t="inlineStr">
        <is>
          <t>Free</t>
        </is>
      </c>
      <c r="H1383" s="12" t="n">
        <v>1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/>
      <c r="P1383" s="12" t="n">
        <v>54.7</v>
      </c>
    </row>
    <row r="1384">
      <c r="A1384" s="12" t="inlineStr">
        <is>
          <t>USR-101383</t>
        </is>
      </c>
      <c r="B1384" s="29" t="n">
        <v>45780</v>
      </c>
      <c r="C1384" s="12" t="inlineStr">
        <is>
          <t>Treatment</t>
        </is>
      </c>
      <c r="D1384" s="12" t="inlineStr">
        <is>
          <t>East</t>
        </is>
      </c>
      <c r="E1384" s="12" t="inlineStr">
        <is>
          <t>Desktop</t>
        </is>
      </c>
      <c r="F1384" s="12" t="inlineStr">
        <is>
          <t>Paid Search</t>
        </is>
      </c>
      <c r="G1384" s="12" t="inlineStr">
        <is>
          <t>Free</t>
        </is>
      </c>
      <c r="H1384" s="12" t="n">
        <v>1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/>
      <c r="P1384" s="12" t="n">
        <v>51.8</v>
      </c>
    </row>
    <row r="1385">
      <c r="A1385" s="12" t="inlineStr">
        <is>
          <t>USR-101384</t>
        </is>
      </c>
      <c r="B1385" s="29" t="n">
        <v>45775</v>
      </c>
      <c r="C1385" s="12" t="inlineStr">
        <is>
          <t>Treatment</t>
        </is>
      </c>
      <c r="D1385" s="12" t="inlineStr">
        <is>
          <t>West</t>
        </is>
      </c>
      <c r="E1385" s="12" t="inlineStr">
        <is>
          <t>Mobile</t>
        </is>
      </c>
      <c r="F1385" s="12" t="inlineStr">
        <is>
          <t>Paid Search</t>
        </is>
      </c>
      <c r="G1385" s="12" t="inlineStr">
        <is>
          <t>Free</t>
        </is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/>
      <c r="P1385" s="12" t="n">
        <v>49.2</v>
      </c>
    </row>
    <row r="1386">
      <c r="A1386" s="12" t="inlineStr">
        <is>
          <t>USR-101385</t>
        </is>
      </c>
      <c r="B1386" s="29" t="n">
        <v>45678</v>
      </c>
      <c r="C1386" s="12" t="inlineStr">
        <is>
          <t>Treatment</t>
        </is>
      </c>
      <c r="D1386" s="12" t="inlineStr">
        <is>
          <t>West</t>
        </is>
      </c>
      <c r="E1386" s="12" t="inlineStr">
        <is>
          <t>Mobile</t>
        </is>
      </c>
      <c r="F1386" s="12" t="inlineStr">
        <is>
          <t>Organic</t>
        </is>
      </c>
      <c r="G1386" s="12" t="inlineStr">
        <is>
          <t>Free</t>
        </is>
      </c>
      <c r="H1386" s="12" t="n">
        <v>1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2</v>
      </c>
      <c r="N1386" s="12" t="n">
        <v>0</v>
      </c>
      <c r="O1386" s="12" t="n"/>
      <c r="P1386" s="12" t="n">
        <v>58.8</v>
      </c>
    </row>
    <row r="1387">
      <c r="A1387" s="12" t="inlineStr">
        <is>
          <t>USR-101386</t>
        </is>
      </c>
      <c r="B1387" s="29" t="n">
        <v>45678</v>
      </c>
      <c r="C1387" s="12" t="inlineStr">
        <is>
          <t>Treatment</t>
        </is>
      </c>
      <c r="D1387" s="12" t="inlineStr">
        <is>
          <t>North</t>
        </is>
      </c>
      <c r="E1387" s="12" t="inlineStr">
        <is>
          <t>Tablet</t>
        </is>
      </c>
      <c r="F1387" s="12" t="inlineStr">
        <is>
          <t>Paid Search</t>
        </is>
      </c>
      <c r="G1387" s="12" t="inlineStr">
        <is>
          <t>Basic</t>
        </is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1</v>
      </c>
      <c r="N1387" s="12" t="n">
        <v>0</v>
      </c>
      <c r="O1387" s="12" t="n"/>
      <c r="P1387" s="12" t="n">
        <v>59.1</v>
      </c>
    </row>
    <row r="1388">
      <c r="A1388" s="12" t="inlineStr">
        <is>
          <t>USR-101387</t>
        </is>
      </c>
      <c r="B1388" s="29" t="n">
        <v>45798</v>
      </c>
      <c r="C1388" s="12" t="inlineStr">
        <is>
          <t>Treatment</t>
        </is>
      </c>
      <c r="D1388" s="12" t="inlineStr">
        <is>
          <t>West</t>
        </is>
      </c>
      <c r="E1388" s="12" t="inlineStr">
        <is>
          <t>Desktop</t>
        </is>
      </c>
      <c r="F1388" s="12" t="inlineStr">
        <is>
          <t>Paid Search</t>
        </is>
      </c>
      <c r="G1388" s="12" t="inlineStr">
        <is>
          <t>Free</t>
        </is>
      </c>
      <c r="H1388" s="12" t="n">
        <v>1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2</v>
      </c>
      <c r="N1388" s="12" t="n">
        <v>0</v>
      </c>
      <c r="O1388" s="12" t="n"/>
      <c r="P1388" s="12" t="n">
        <v>49.6</v>
      </c>
    </row>
    <row r="1389">
      <c r="A1389" s="12" t="inlineStr">
        <is>
          <t>USR-101388</t>
        </is>
      </c>
      <c r="B1389" s="29" t="n">
        <v>45662</v>
      </c>
      <c r="C1389" s="12" t="inlineStr">
        <is>
          <t>Treatment</t>
        </is>
      </c>
      <c r="D1389" s="12" t="inlineStr">
        <is>
          <t>North</t>
        </is>
      </c>
      <c r="E1389" s="12" t="inlineStr">
        <is>
          <t>Mobile</t>
        </is>
      </c>
      <c r="F1389" s="12" t="inlineStr">
        <is>
          <t>Referral</t>
        </is>
      </c>
      <c r="G1389" s="12" t="inlineStr">
        <is>
          <t>Free</t>
        </is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/>
      <c r="P1389" s="12" t="n">
        <v>58.2</v>
      </c>
    </row>
    <row r="1390">
      <c r="A1390" s="12" t="inlineStr">
        <is>
          <t>USR-101389</t>
        </is>
      </c>
      <c r="B1390" s="29" t="n">
        <v>45722</v>
      </c>
      <c r="C1390" s="12" t="inlineStr">
        <is>
          <t>Treatment</t>
        </is>
      </c>
      <c r="D1390" s="12" t="inlineStr">
        <is>
          <t>South</t>
        </is>
      </c>
      <c r="E1390" s="12" t="inlineStr">
        <is>
          <t>Desktop</t>
        </is>
      </c>
      <c r="F1390" s="12" t="inlineStr">
        <is>
          <t>Organic</t>
        </is>
      </c>
      <c r="G1390" s="12" t="inlineStr">
        <is>
          <t>Free</t>
        </is>
      </c>
      <c r="H1390" s="12" t="n">
        <v>1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/>
      <c r="P1390" s="12" t="n">
        <v>66.8</v>
      </c>
    </row>
    <row r="1391">
      <c r="A1391" s="12" t="inlineStr">
        <is>
          <t>USR-101390</t>
        </is>
      </c>
      <c r="B1391" s="29" t="n">
        <v>45765</v>
      </c>
      <c r="C1391" s="12" t="inlineStr">
        <is>
          <t>Treatment</t>
        </is>
      </c>
      <c r="D1391" s="12" t="inlineStr">
        <is>
          <t>North</t>
        </is>
      </c>
      <c r="E1391" s="12" t="inlineStr">
        <is>
          <t>Mobile</t>
        </is>
      </c>
      <c r="F1391" s="12" t="inlineStr">
        <is>
          <t>Paid Search</t>
        </is>
      </c>
      <c r="G1391" s="12" t="inlineStr">
        <is>
          <t>Free</t>
        </is>
      </c>
      <c r="H1391" s="12" t="n">
        <v>1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3</v>
      </c>
      <c r="N1391" s="12" t="n">
        <v>0</v>
      </c>
      <c r="O1391" s="12" t="n"/>
      <c r="P1391" s="12" t="n">
        <v>58.3</v>
      </c>
    </row>
    <row r="1392">
      <c r="A1392" s="12" t="inlineStr">
        <is>
          <t>USR-101391</t>
        </is>
      </c>
      <c r="B1392" s="29" t="n">
        <v>45762</v>
      </c>
      <c r="C1392" s="12" t="inlineStr">
        <is>
          <t>Treatment</t>
        </is>
      </c>
      <c r="D1392" s="12" t="inlineStr">
        <is>
          <t>West</t>
        </is>
      </c>
      <c r="E1392" s="12" t="inlineStr">
        <is>
          <t>Mobile</t>
        </is>
      </c>
      <c r="F1392" s="12" t="inlineStr">
        <is>
          <t>Organic</t>
        </is>
      </c>
      <c r="G1392" s="12" t="inlineStr">
        <is>
          <t>Basic</t>
        </is>
      </c>
      <c r="H1392" s="12" t="n">
        <v>1</v>
      </c>
      <c r="I1392" s="12" t="n">
        <v>1</v>
      </c>
      <c r="J1392" s="12" t="n">
        <v>1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/>
      <c r="P1392" s="12" t="n">
        <v>38.5</v>
      </c>
    </row>
    <row r="1393">
      <c r="A1393" s="12" t="inlineStr">
        <is>
          <t>USR-101392</t>
        </is>
      </c>
      <c r="B1393" s="29" t="n">
        <v>45698</v>
      </c>
      <c r="C1393" s="12" t="inlineStr">
        <is>
          <t>Treatment</t>
        </is>
      </c>
      <c r="D1393" s="12" t="inlineStr">
        <is>
          <t>East</t>
        </is>
      </c>
      <c r="E1393" s="12" t="inlineStr">
        <is>
          <t>Mobile</t>
        </is>
      </c>
      <c r="F1393" s="12" t="inlineStr">
        <is>
          <t>Paid Search</t>
        </is>
      </c>
      <c r="G1393" s="12" t="inlineStr">
        <is>
          <t>Free</t>
        </is>
      </c>
      <c r="H1393" s="12" t="n">
        <v>1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/>
      <c r="P1393" s="12" t="n">
        <v>76.90000000000001</v>
      </c>
    </row>
    <row r="1394">
      <c r="A1394" s="12" t="inlineStr">
        <is>
          <t>USR-101393</t>
        </is>
      </c>
      <c r="B1394" s="29" t="n">
        <v>45785</v>
      </c>
      <c r="C1394" s="12" t="inlineStr">
        <is>
          <t>Treatment</t>
        </is>
      </c>
      <c r="D1394" s="12" t="inlineStr">
        <is>
          <t>East</t>
        </is>
      </c>
      <c r="E1394" s="12" t="inlineStr">
        <is>
          <t>Mobile</t>
        </is>
      </c>
      <c r="F1394" s="12" t="inlineStr">
        <is>
          <t>Organic</t>
        </is>
      </c>
      <c r="G1394" s="12" t="inlineStr">
        <is>
          <t>Free</t>
        </is>
      </c>
      <c r="H1394" s="12" t="n">
        <v>1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/>
      <c r="P1394" s="12" t="n">
        <v>54</v>
      </c>
    </row>
    <row r="1395">
      <c r="A1395" s="12" t="inlineStr">
        <is>
          <t>USR-101394</t>
        </is>
      </c>
      <c r="B1395" s="29" t="n">
        <v>45805</v>
      </c>
      <c r="C1395" s="12" t="inlineStr">
        <is>
          <t>Treatment</t>
        </is>
      </c>
      <c r="D1395" s="12" t="inlineStr">
        <is>
          <t>East</t>
        </is>
      </c>
      <c r="E1395" s="12" t="inlineStr">
        <is>
          <t>Tablet</t>
        </is>
      </c>
      <c r="F1395" s="12" t="inlineStr">
        <is>
          <t>Organic</t>
        </is>
      </c>
      <c r="G1395" s="12" t="inlineStr">
        <is>
          <t>Free</t>
        </is>
      </c>
      <c r="H1395" s="12" t="n">
        <v>1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/>
      <c r="P1395" s="12" t="n">
        <v>70.59999999999999</v>
      </c>
    </row>
    <row r="1396">
      <c r="A1396" s="12" t="inlineStr">
        <is>
          <t>USR-101395</t>
        </is>
      </c>
      <c r="B1396" s="29" t="n">
        <v>45772</v>
      </c>
      <c r="C1396" s="12" t="inlineStr">
        <is>
          <t>Treatment</t>
        </is>
      </c>
      <c r="D1396" s="12" t="inlineStr">
        <is>
          <t>North</t>
        </is>
      </c>
      <c r="E1396" s="12" t="inlineStr">
        <is>
          <t>Tablet</t>
        </is>
      </c>
      <c r="F1396" s="12" t="inlineStr">
        <is>
          <t>Referral</t>
        </is>
      </c>
      <c r="G1396" s="12" t="inlineStr">
        <is>
          <t>Premium</t>
        </is>
      </c>
      <c r="H1396" s="12" t="n">
        <v>1</v>
      </c>
      <c r="I1396" s="12" t="n">
        <v>1</v>
      </c>
      <c r="J1396" s="12" t="n">
        <v>1</v>
      </c>
      <c r="K1396" s="12" t="n">
        <v>0</v>
      </c>
      <c r="L1396" s="12" t="n">
        <v>0</v>
      </c>
      <c r="M1396" s="12" t="n">
        <v>1</v>
      </c>
      <c r="N1396" s="12" t="n">
        <v>0</v>
      </c>
      <c r="O1396" s="12" t="n"/>
      <c r="P1396" s="12" t="n">
        <v>69.40000000000001</v>
      </c>
    </row>
    <row r="1397">
      <c r="A1397" s="12" t="inlineStr">
        <is>
          <t>USR-101396</t>
        </is>
      </c>
      <c r="B1397" s="29" t="n">
        <v>45699</v>
      </c>
      <c r="C1397" s="12" t="inlineStr">
        <is>
          <t>Treatment</t>
        </is>
      </c>
      <c r="D1397" s="12" t="inlineStr">
        <is>
          <t>South</t>
        </is>
      </c>
      <c r="E1397" s="12" t="inlineStr">
        <is>
          <t>Mobile</t>
        </is>
      </c>
      <c r="F1397" s="12" t="n"/>
      <c r="G1397" s="12" t="inlineStr">
        <is>
          <t>Premium</t>
        </is>
      </c>
      <c r="H1397" s="12" t="n">
        <v>1</v>
      </c>
      <c r="I1397" s="12" t="n">
        <v>1</v>
      </c>
      <c r="J1397" s="12" t="n">
        <v>1</v>
      </c>
      <c r="K1397" s="12" t="n">
        <v>1</v>
      </c>
      <c r="L1397" s="12" t="n">
        <v>1009.9</v>
      </c>
      <c r="M1397" s="12" t="n">
        <v>0</v>
      </c>
      <c r="N1397" s="12" t="n">
        <v>0</v>
      </c>
      <c r="O1397" s="12" t="n">
        <v>6</v>
      </c>
      <c r="P1397" s="12" t="n">
        <v>89.7</v>
      </c>
    </row>
    <row r="1398">
      <c r="A1398" s="12" t="inlineStr">
        <is>
          <t>USR-101397</t>
        </is>
      </c>
      <c r="B1398" s="29" t="n">
        <v>45761</v>
      </c>
      <c r="C1398" s="12" t="inlineStr">
        <is>
          <t>Treatment</t>
        </is>
      </c>
      <c r="D1398" s="12" t="inlineStr">
        <is>
          <t>West</t>
        </is>
      </c>
      <c r="E1398" s="12" t="inlineStr">
        <is>
          <t>Mobile</t>
        </is>
      </c>
      <c r="F1398" s="12" t="inlineStr">
        <is>
          <t>Organic</t>
        </is>
      </c>
      <c r="G1398" s="12" t="inlineStr">
        <is>
          <t>Free</t>
        </is>
      </c>
      <c r="H1398" s="12" t="n">
        <v>1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/>
      <c r="P1398" s="12" t="n">
        <v>62.4</v>
      </c>
    </row>
    <row r="1399">
      <c r="A1399" s="12" t="inlineStr">
        <is>
          <t>USR-101398</t>
        </is>
      </c>
      <c r="B1399" s="29" t="n">
        <v>45692</v>
      </c>
      <c r="C1399" s="12" t="inlineStr">
        <is>
          <t>Treatment</t>
        </is>
      </c>
      <c r="D1399" s="12" t="inlineStr">
        <is>
          <t>West</t>
        </is>
      </c>
      <c r="E1399" s="12" t="inlineStr">
        <is>
          <t>Tablet</t>
        </is>
      </c>
      <c r="F1399" s="12" t="inlineStr">
        <is>
          <t>Organic</t>
        </is>
      </c>
      <c r="G1399" s="12" t="inlineStr">
        <is>
          <t>Premium</t>
        </is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/>
      <c r="P1399" s="12" t="n">
        <v>67.3</v>
      </c>
    </row>
    <row r="1400">
      <c r="A1400" s="12" t="inlineStr">
        <is>
          <t>USR-101399</t>
        </is>
      </c>
      <c r="B1400" s="29" t="n">
        <v>45738</v>
      </c>
      <c r="C1400" s="12" t="inlineStr">
        <is>
          <t>Treatment</t>
        </is>
      </c>
      <c r="D1400" s="12" t="inlineStr">
        <is>
          <t>East</t>
        </is>
      </c>
      <c r="E1400" s="12" t="inlineStr">
        <is>
          <t>Mobile</t>
        </is>
      </c>
      <c r="F1400" s="12" t="inlineStr">
        <is>
          <t>Referral</t>
        </is>
      </c>
      <c r="G1400" s="12" t="inlineStr">
        <is>
          <t>Free</t>
        </is>
      </c>
      <c r="H1400" s="12" t="n">
        <v>1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/>
      <c r="P1400" s="12" t="n">
        <v>54.9</v>
      </c>
    </row>
    <row r="1401">
      <c r="A1401" s="12" t="inlineStr">
        <is>
          <t>USR-101400</t>
        </is>
      </c>
      <c r="B1401" s="29" t="n">
        <v>45765</v>
      </c>
      <c r="C1401" s="12" t="inlineStr">
        <is>
          <t>Treatment</t>
        </is>
      </c>
      <c r="D1401" s="12" t="inlineStr">
        <is>
          <t>East</t>
        </is>
      </c>
      <c r="E1401" s="12" t="inlineStr">
        <is>
          <t>Desktop</t>
        </is>
      </c>
      <c r="F1401" s="12" t="inlineStr">
        <is>
          <t>Social</t>
        </is>
      </c>
      <c r="G1401" s="12" t="inlineStr">
        <is>
          <t>Free</t>
        </is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/>
      <c r="P1401" s="12" t="n">
        <v>55.7</v>
      </c>
    </row>
    <row r="1402">
      <c r="A1402" s="12" t="inlineStr">
        <is>
          <t>USR-100917</t>
        </is>
      </c>
      <c r="B1402" s="29" t="n">
        <v>45711</v>
      </c>
      <c r="C1402" s="12" t="inlineStr">
        <is>
          <t>Treatment</t>
        </is>
      </c>
      <c r="D1402" s="12" t="inlineStr">
        <is>
          <t>West</t>
        </is>
      </c>
      <c r="E1402" s="12" t="inlineStr">
        <is>
          <t>Desktop</t>
        </is>
      </c>
      <c r="F1402" s="12" t="inlineStr">
        <is>
          <t>Social</t>
        </is>
      </c>
      <c r="G1402" s="12" t="inlineStr">
        <is>
          <t>Basic</t>
        </is>
      </c>
      <c r="H1402" s="12" t="n">
        <v>1</v>
      </c>
      <c r="I1402" s="12" t="n">
        <v>1</v>
      </c>
      <c r="J1402" s="12" t="n">
        <v>1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/>
      <c r="P1402" s="12" t="n">
        <v>70.59999999999999</v>
      </c>
    </row>
    <row r="1403">
      <c r="A1403" s="12" t="inlineStr">
        <is>
          <t>USR-100433</t>
        </is>
      </c>
      <c r="B1403" s="29" t="n">
        <v>45691</v>
      </c>
      <c r="C1403" s="12" t="inlineStr">
        <is>
          <t>Control</t>
        </is>
      </c>
      <c r="D1403" s="12" t="inlineStr">
        <is>
          <t>North</t>
        </is>
      </c>
      <c r="E1403" s="12" t="inlineStr">
        <is>
          <t>Tablet</t>
        </is>
      </c>
      <c r="F1403" s="12" t="inlineStr">
        <is>
          <t>Email</t>
        </is>
      </c>
      <c r="G1403" s="12" t="inlineStr">
        <is>
          <t>Basic</t>
        </is>
      </c>
      <c r="H1403" s="12" t="n">
        <v>1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/>
      <c r="P1403" s="12" t="n">
        <v>60.9</v>
      </c>
    </row>
    <row r="1404">
      <c r="A1404" s="12" t="inlineStr">
        <is>
          <t>USR-101362</t>
        </is>
      </c>
      <c r="B1404" s="29" t="n">
        <v>45800</v>
      </c>
      <c r="C1404" s="12" t="inlineStr">
        <is>
          <t>Treatment</t>
        </is>
      </c>
      <c r="D1404" s="12" t="inlineStr">
        <is>
          <t>East</t>
        </is>
      </c>
      <c r="E1404" s="12" t="inlineStr">
        <is>
          <t>Mobile</t>
        </is>
      </c>
      <c r="F1404" s="12" t="inlineStr">
        <is>
          <t>Organic</t>
        </is>
      </c>
      <c r="G1404" s="12" t="inlineStr">
        <is>
          <t>Basic</t>
        </is>
      </c>
      <c r="H1404" s="12" t="n">
        <v>1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/>
      <c r="P1404" s="12" t="n">
        <v>33.6</v>
      </c>
    </row>
    <row r="1405">
      <c r="A1405" s="12" t="inlineStr">
        <is>
          <t>USR-100096</t>
        </is>
      </c>
      <c r="B1405" s="29" t="n">
        <v>45693</v>
      </c>
      <c r="C1405" s="12" t="inlineStr">
        <is>
          <t>Control</t>
        </is>
      </c>
      <c r="D1405" s="12" t="inlineStr">
        <is>
          <t>East</t>
        </is>
      </c>
      <c r="E1405" s="12" t="inlineStr">
        <is>
          <t>Mobile</t>
        </is>
      </c>
      <c r="F1405" s="12" t="inlineStr">
        <is>
          <t>Social</t>
        </is>
      </c>
      <c r="G1405" s="12" t="inlineStr">
        <is>
          <t>Free</t>
        </is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/>
      <c r="P1405" s="12" t="n">
        <v>68</v>
      </c>
    </row>
    <row r="1406">
      <c r="A1406" s="12" t="inlineStr">
        <is>
          <t>USR-101210</t>
        </is>
      </c>
      <c r="B1406" s="29" t="n">
        <v>45712</v>
      </c>
      <c r="C1406" s="12" t="inlineStr">
        <is>
          <t>Treatment</t>
        </is>
      </c>
      <c r="D1406" s="12" t="inlineStr">
        <is>
          <t>West</t>
        </is>
      </c>
      <c r="E1406" s="12" t="inlineStr">
        <is>
          <t>Mobile</t>
        </is>
      </c>
      <c r="F1406" s="12" t="inlineStr">
        <is>
          <t>Organic</t>
        </is>
      </c>
      <c r="G1406" s="12" t="inlineStr">
        <is>
          <t>Basic</t>
        </is>
      </c>
      <c r="H1406" s="12" t="n">
        <v>1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/>
      <c r="P1406" s="12" t="n">
        <v>62</v>
      </c>
    </row>
    <row r="1407">
      <c r="A1407" s="12" t="inlineStr">
        <is>
          <t>USR-101232</t>
        </is>
      </c>
      <c r="B1407" s="29" t="n">
        <v>45746</v>
      </c>
      <c r="C1407" s="12" t="inlineStr">
        <is>
          <t>Treatment</t>
        </is>
      </c>
      <c r="D1407" s="12" t="inlineStr">
        <is>
          <t>East</t>
        </is>
      </c>
      <c r="E1407" s="12" t="inlineStr">
        <is>
          <t>Mobile</t>
        </is>
      </c>
      <c r="F1407" s="12" t="inlineStr">
        <is>
          <t>Organic</t>
        </is>
      </c>
      <c r="G1407" s="12" t="inlineStr">
        <is>
          <t>Free</t>
        </is>
      </c>
      <c r="H1407" s="12" t="n">
        <v>1</v>
      </c>
      <c r="I1407" s="12" t="n">
        <v>1</v>
      </c>
      <c r="J1407" s="12" t="n">
        <v>1</v>
      </c>
      <c r="K1407" s="12" t="n">
        <v>0</v>
      </c>
      <c r="L1407" s="12" t="n">
        <v>0</v>
      </c>
      <c r="M1407" s="12" t="n">
        <v>1</v>
      </c>
      <c r="N1407" s="12" t="n">
        <v>0</v>
      </c>
      <c r="O1407" s="12" t="n"/>
      <c r="P1407" s="12" t="n">
        <v>72.5</v>
      </c>
    </row>
    <row r="1408">
      <c r="A1408" s="12" t="inlineStr">
        <is>
          <t>USR-101059</t>
        </is>
      </c>
      <c r="B1408" s="29" t="n">
        <v>45793</v>
      </c>
      <c r="C1408" s="12" t="inlineStr">
        <is>
          <t>Treatment</t>
        </is>
      </c>
      <c r="D1408" s="12" t="inlineStr">
        <is>
          <t>South</t>
        </is>
      </c>
      <c r="E1408" s="12" t="inlineStr">
        <is>
          <t>Mobile</t>
        </is>
      </c>
      <c r="F1408" s="12" t="inlineStr">
        <is>
          <t>Organic</t>
        </is>
      </c>
      <c r="G1408" s="12" t="inlineStr">
        <is>
          <t>Free</t>
        </is>
      </c>
      <c r="H1408" s="12" t="n">
        <v>1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/>
      <c r="P1408" s="12" t="n">
        <v>70.3</v>
      </c>
    </row>
    <row r="1409">
      <c r="A1409" s="12" t="inlineStr">
        <is>
          <t>USR-100541</t>
        </is>
      </c>
      <c r="B1409" s="29" t="n">
        <v>45799</v>
      </c>
      <c r="C1409" s="12" t="inlineStr">
        <is>
          <t>Control</t>
        </is>
      </c>
      <c r="D1409" s="12" t="inlineStr">
        <is>
          <t>North</t>
        </is>
      </c>
      <c r="E1409" s="12" t="inlineStr">
        <is>
          <t>Mobile</t>
        </is>
      </c>
      <c r="F1409" s="12" t="inlineStr">
        <is>
          <t>Paid Search</t>
        </is>
      </c>
      <c r="G1409" s="12" t="inlineStr">
        <is>
          <t>Basic</t>
        </is>
      </c>
      <c r="H1409" s="12" t="n">
        <v>1</v>
      </c>
      <c r="I1409" s="12" t="n">
        <v>1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/>
      <c r="P1409" s="12" t="n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2026-06-23T20:33:59Z</dcterms:created>
  <dcterms:modified xmlns:dcterms="http://purl.org/dc/terms/" xmlns:xsi="http://www.w3.org/2001/XMLSchema-instance" xsi:type="dcterms:W3CDTF">2026-06-23T20:34:00Z</dcterms:modified>
</cp:coreProperties>
</file>